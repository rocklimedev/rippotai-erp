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ippotai-erp\documentation\templates\v1\"/>
    </mc:Choice>
  </mc:AlternateContent>
  <xr:revisionPtr revIDLastSave="0" documentId="13_ncr:1_{550C03B8-AC7F-4C21-B322-8E426A00E321}" xr6:coauthVersionLast="47" xr6:coauthVersionMax="47" xr10:uidLastSave="{00000000-0000-0000-0000-000000000000}"/>
  <bookViews>
    <workbookView xWindow="20370" yWindow="-120" windowWidth="38640" windowHeight="15720" tabRatio="500" xr2:uid="{00000000-000D-0000-FFFF-FFFF00000000}"/>
  </bookViews>
  <sheets>
    <sheet name="Comparison" sheetId="1" r:id="rId1"/>
    <sheet name="1. Site Preparation" sheetId="2" r:id="rId2"/>
    <sheet name="2. Civil Works" sheetId="3" r:id="rId3"/>
    <sheet name="3. Waterproofing" sheetId="4" r:id="rId4"/>
    <sheet name="4. Flooring &amp; Stone" sheetId="5" r:id="rId5"/>
    <sheet name="5. False Ceiling" sheetId="6" r:id="rId6"/>
    <sheet name="6. Carpentry" sheetId="7" r:id="rId7"/>
    <sheet name="7. Glass &amp; Alu" sheetId="8" r:id="rId8"/>
    <sheet name="8. Electrical" sheetId="9" r:id="rId9"/>
    <sheet name="9. Plumbing" sheetId="10" r:id="rId10"/>
    <sheet name="10. HVAC" sheetId="11" r:id="rId11"/>
    <sheet name="11. Painting" sheetId="12" r:id="rId12"/>
    <sheet name="12. Loose Furniture" sheetId="13" r:id="rId13"/>
    <sheet name="13. Site Overheads" sheetId="14" r:id="rId14"/>
  </sheets>
  <definedNames>
    <definedName name="_xlnm.Print_Titles" localSheetId="0">Comparison!#REF!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2" l="1"/>
  <c r="S18" i="3"/>
  <c r="G8" i="3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R20" i="4"/>
  <c r="U20" i="4" s="1"/>
  <c r="Q20" i="4"/>
  <c r="O20" i="4"/>
  <c r="M20" i="4"/>
  <c r="K20" i="4"/>
  <c r="I20" i="4"/>
  <c r="G20" i="4"/>
  <c r="S19" i="4"/>
  <c r="R19" i="4"/>
  <c r="U19" i="4" s="1"/>
  <c r="Q19" i="4"/>
  <c r="O19" i="4"/>
  <c r="M19" i="4"/>
  <c r="K19" i="4"/>
  <c r="I19" i="4"/>
  <c r="G19" i="4"/>
  <c r="R18" i="4"/>
  <c r="U18" i="4" s="1"/>
  <c r="Q18" i="4"/>
  <c r="O18" i="4"/>
  <c r="M18" i="4"/>
  <c r="K18" i="4"/>
  <c r="I18" i="4"/>
  <c r="G18" i="4"/>
  <c r="R17" i="4"/>
  <c r="S17" i="4" s="1"/>
  <c r="Q17" i="4"/>
  <c r="O17" i="4"/>
  <c r="M17" i="4"/>
  <c r="K17" i="4"/>
  <c r="I17" i="4"/>
  <c r="G17" i="4"/>
  <c r="R21" i="3"/>
  <c r="U21" i="3" s="1"/>
  <c r="Q21" i="3"/>
  <c r="O21" i="3"/>
  <c r="M21" i="3"/>
  <c r="K21" i="3"/>
  <c r="I21" i="3"/>
  <c r="G21" i="3"/>
  <c r="T20" i="3"/>
  <c r="R20" i="3"/>
  <c r="U20" i="3" s="1"/>
  <c r="Q20" i="3"/>
  <c r="O20" i="3"/>
  <c r="M20" i="3"/>
  <c r="K20" i="3"/>
  <c r="I20" i="3"/>
  <c r="G20" i="3"/>
  <c r="R19" i="3"/>
  <c r="U19" i="3" s="1"/>
  <c r="Q19" i="3"/>
  <c r="O19" i="3"/>
  <c r="M19" i="3"/>
  <c r="K19" i="3"/>
  <c r="I19" i="3"/>
  <c r="I22" i="3" s="1"/>
  <c r="I7" i="3" s="1"/>
  <c r="I17" i="1" s="1"/>
  <c r="G19" i="3"/>
  <c r="R18" i="3"/>
  <c r="Q18" i="3"/>
  <c r="O18" i="3"/>
  <c r="M18" i="3"/>
  <c r="K18" i="3"/>
  <c r="I18" i="3"/>
  <c r="G18" i="3"/>
  <c r="R17" i="3"/>
  <c r="U17" i="3" s="1"/>
  <c r="Q17" i="3"/>
  <c r="O17" i="3"/>
  <c r="M17" i="3"/>
  <c r="K17" i="3"/>
  <c r="I17" i="3"/>
  <c r="G17" i="3"/>
  <c r="R20" i="2"/>
  <c r="S20" i="2" s="1"/>
  <c r="Q20" i="2"/>
  <c r="O20" i="2"/>
  <c r="M20" i="2"/>
  <c r="K20" i="2"/>
  <c r="I20" i="2"/>
  <c r="G20" i="2"/>
  <c r="R19" i="2"/>
  <c r="U19" i="2" s="1"/>
  <c r="Q19" i="2"/>
  <c r="O19" i="2"/>
  <c r="M19" i="2"/>
  <c r="K19" i="2"/>
  <c r="I19" i="2"/>
  <c r="G19" i="2"/>
  <c r="R18" i="2"/>
  <c r="S18" i="2" s="1"/>
  <c r="Q18" i="2"/>
  <c r="O18" i="2"/>
  <c r="M18" i="2"/>
  <c r="K18" i="2"/>
  <c r="I18" i="2"/>
  <c r="G18" i="2"/>
  <c r="R17" i="2"/>
  <c r="U17" i="2" s="1"/>
  <c r="Q17" i="2"/>
  <c r="O17" i="2"/>
  <c r="M17" i="2"/>
  <c r="K17" i="2"/>
  <c r="I17" i="2"/>
  <c r="G17" i="2"/>
  <c r="I12" i="1"/>
  <c r="H13" i="14"/>
  <c r="M28" i="1" s="1"/>
  <c r="H13" i="13"/>
  <c r="M27" i="1" s="1"/>
  <c r="H13" i="12"/>
  <c r="M26" i="1" s="1"/>
  <c r="H13" i="11"/>
  <c r="M25" i="1" s="1"/>
  <c r="H13" i="10"/>
  <c r="M24" i="1" s="1"/>
  <c r="H13" i="9"/>
  <c r="M23" i="1" s="1"/>
  <c r="H13" i="8"/>
  <c r="M22" i="1" s="1"/>
  <c r="H13" i="7"/>
  <c r="M21" i="1" s="1"/>
  <c r="H13" i="6"/>
  <c r="M20" i="1" s="1"/>
  <c r="H13" i="5"/>
  <c r="M19" i="1" s="1"/>
  <c r="H13" i="4"/>
  <c r="M18" i="1" s="1"/>
  <c r="H13" i="3"/>
  <c r="M17" i="1" s="1"/>
  <c r="H13" i="2"/>
  <c r="M16" i="1" s="1"/>
  <c r="Y3" i="14"/>
  <c r="Y2" i="14"/>
  <c r="Y1" i="14"/>
  <c r="Y3" i="13"/>
  <c r="Y2" i="13"/>
  <c r="Y1" i="13"/>
  <c r="Y3" i="12"/>
  <c r="Y2" i="12"/>
  <c r="Y1" i="12"/>
  <c r="Y3" i="11"/>
  <c r="Y2" i="11"/>
  <c r="Y1" i="11"/>
  <c r="Y3" i="10"/>
  <c r="Y2" i="10"/>
  <c r="Y1" i="10"/>
  <c r="Y3" i="9"/>
  <c r="Y2" i="9"/>
  <c r="Y1" i="9"/>
  <c r="Y3" i="8"/>
  <c r="Y2" i="8"/>
  <c r="Y1" i="8"/>
  <c r="Y3" i="7"/>
  <c r="Y2" i="7"/>
  <c r="Y1" i="7"/>
  <c r="Y3" i="6"/>
  <c r="Y2" i="6"/>
  <c r="Y1" i="6"/>
  <c r="Y3" i="5"/>
  <c r="Y2" i="5"/>
  <c r="Y1" i="5"/>
  <c r="Y3" i="4"/>
  <c r="Y2" i="4"/>
  <c r="Y1" i="4"/>
  <c r="Y3" i="3"/>
  <c r="Y2" i="3"/>
  <c r="Y1" i="3"/>
  <c r="W3" i="2"/>
  <c r="W2" i="2"/>
  <c r="W1" i="2"/>
  <c r="I20" i="14"/>
  <c r="I19" i="14"/>
  <c r="I18" i="14"/>
  <c r="I17" i="14"/>
  <c r="I21" i="14" s="1"/>
  <c r="I7" i="14" s="1"/>
  <c r="I20" i="13"/>
  <c r="I19" i="13"/>
  <c r="I21" i="13" s="1"/>
  <c r="I7" i="13" s="1"/>
  <c r="I18" i="13"/>
  <c r="I17" i="13"/>
  <c r="I20" i="12"/>
  <c r="I19" i="12"/>
  <c r="I18" i="12"/>
  <c r="I17" i="12"/>
  <c r="I21" i="12" s="1"/>
  <c r="I7" i="12" s="1"/>
  <c r="I21" i="11"/>
  <c r="I7" i="11" s="1"/>
  <c r="I20" i="11"/>
  <c r="I19" i="11"/>
  <c r="I18" i="11"/>
  <c r="I17" i="11"/>
  <c r="I21" i="10"/>
  <c r="I7" i="10" s="1"/>
  <c r="I20" i="10"/>
  <c r="I19" i="10"/>
  <c r="I18" i="10"/>
  <c r="I17" i="10"/>
  <c r="I20" i="9"/>
  <c r="I19" i="9"/>
  <c r="I18" i="9"/>
  <c r="I17" i="9"/>
  <c r="I21" i="9" s="1"/>
  <c r="I7" i="9" s="1"/>
  <c r="I20" i="8"/>
  <c r="I21" i="8" s="1"/>
  <c r="I7" i="8" s="1"/>
  <c r="I19" i="8"/>
  <c r="I18" i="8"/>
  <c r="I17" i="8"/>
  <c r="I20" i="7"/>
  <c r="I19" i="7"/>
  <c r="I18" i="7"/>
  <c r="I17" i="7"/>
  <c r="I21" i="7" s="1"/>
  <c r="I7" i="7" s="1"/>
  <c r="I20" i="6"/>
  <c r="I19" i="6"/>
  <c r="I18" i="6"/>
  <c r="I17" i="6"/>
  <c r="I21" i="6" s="1"/>
  <c r="I7" i="6" s="1"/>
  <c r="I20" i="5"/>
  <c r="I19" i="5"/>
  <c r="I18" i="5"/>
  <c r="I21" i="5" s="1"/>
  <c r="I7" i="5" s="1"/>
  <c r="I17" i="5"/>
  <c r="I21" i="4"/>
  <c r="I7" i="4" s="1"/>
  <c r="I8" i="4" s="1"/>
  <c r="I21" i="2"/>
  <c r="P14" i="14"/>
  <c r="N14" i="14"/>
  <c r="L2" i="14"/>
  <c r="F2" i="14"/>
  <c r="B2" i="14"/>
  <c r="P14" i="13"/>
  <c r="N14" i="13"/>
  <c r="J14" i="13"/>
  <c r="L2" i="13"/>
  <c r="F2" i="13"/>
  <c r="B2" i="13"/>
  <c r="P14" i="12"/>
  <c r="L14" i="12"/>
  <c r="J14" i="12"/>
  <c r="L2" i="12"/>
  <c r="F2" i="12"/>
  <c r="B2" i="12"/>
  <c r="J14" i="11"/>
  <c r="L2" i="11"/>
  <c r="F2" i="11"/>
  <c r="B2" i="11"/>
  <c r="P14" i="10"/>
  <c r="N14" i="10"/>
  <c r="L14" i="10"/>
  <c r="L2" i="10"/>
  <c r="F2" i="10"/>
  <c r="B2" i="10"/>
  <c r="P14" i="9"/>
  <c r="N14" i="9"/>
  <c r="L14" i="9"/>
  <c r="L2" i="9"/>
  <c r="F2" i="9"/>
  <c r="B2" i="9"/>
  <c r="L14" i="8"/>
  <c r="J14" i="8"/>
  <c r="L2" i="8"/>
  <c r="F2" i="8"/>
  <c r="B2" i="8"/>
  <c r="N14" i="7"/>
  <c r="L14" i="7"/>
  <c r="J14" i="7"/>
  <c r="L2" i="7"/>
  <c r="F2" i="7"/>
  <c r="B2" i="7"/>
  <c r="P14" i="6"/>
  <c r="N14" i="6"/>
  <c r="L14" i="6"/>
  <c r="J14" i="6"/>
  <c r="L2" i="6"/>
  <c r="F2" i="6"/>
  <c r="B2" i="6"/>
  <c r="P14" i="5"/>
  <c r="L2" i="5"/>
  <c r="F2" i="5"/>
  <c r="B2" i="5"/>
  <c r="P14" i="4"/>
  <c r="N14" i="4"/>
  <c r="J14" i="4"/>
  <c r="L2" i="4"/>
  <c r="F2" i="4"/>
  <c r="B2" i="4"/>
  <c r="J14" i="3"/>
  <c r="L2" i="3"/>
  <c r="F2" i="3"/>
  <c r="B2" i="3"/>
  <c r="N14" i="2"/>
  <c r="J14" i="2"/>
  <c r="L2" i="2"/>
  <c r="F2" i="2"/>
  <c r="B2" i="2"/>
  <c r="R20" i="14"/>
  <c r="S20" i="14" s="1"/>
  <c r="Q20" i="14"/>
  <c r="O20" i="14"/>
  <c r="M20" i="14"/>
  <c r="K20" i="14"/>
  <c r="G20" i="14"/>
  <c r="U19" i="14"/>
  <c r="R19" i="14"/>
  <c r="T19" i="14" s="1"/>
  <c r="Q19" i="14"/>
  <c r="O19" i="14"/>
  <c r="M19" i="14"/>
  <c r="K19" i="14"/>
  <c r="G19" i="14"/>
  <c r="R18" i="14"/>
  <c r="U18" i="14" s="1"/>
  <c r="Q18" i="14"/>
  <c r="O18" i="14"/>
  <c r="M18" i="14"/>
  <c r="K18" i="14"/>
  <c r="G18" i="14"/>
  <c r="R17" i="14"/>
  <c r="Q17" i="14"/>
  <c r="O17" i="14"/>
  <c r="M17" i="14"/>
  <c r="K17" i="14"/>
  <c r="G17" i="14"/>
  <c r="L14" i="14"/>
  <c r="J14" i="14"/>
  <c r="R20" i="13"/>
  <c r="T20" i="13" s="1"/>
  <c r="Q20" i="13"/>
  <c r="O20" i="13"/>
  <c r="M20" i="13"/>
  <c r="K20" i="13"/>
  <c r="G20" i="13"/>
  <c r="R19" i="13"/>
  <c r="S19" i="13" s="1"/>
  <c r="Q19" i="13"/>
  <c r="O19" i="13"/>
  <c r="M19" i="13"/>
  <c r="K19" i="13"/>
  <c r="G19" i="13"/>
  <c r="R18" i="13"/>
  <c r="U18" i="13" s="1"/>
  <c r="Q18" i="13"/>
  <c r="O18" i="13"/>
  <c r="M18" i="13"/>
  <c r="K18" i="13"/>
  <c r="G18" i="13"/>
  <c r="R17" i="13"/>
  <c r="S17" i="13" s="1"/>
  <c r="Q17" i="13"/>
  <c r="O17" i="13"/>
  <c r="M17" i="13"/>
  <c r="K17" i="13"/>
  <c r="G17" i="13"/>
  <c r="L14" i="13"/>
  <c r="R20" i="12"/>
  <c r="U20" i="12" s="1"/>
  <c r="Q20" i="12"/>
  <c r="O20" i="12"/>
  <c r="M20" i="12"/>
  <c r="K20" i="12"/>
  <c r="G20" i="12"/>
  <c r="R19" i="12"/>
  <c r="Q19" i="12"/>
  <c r="O19" i="12"/>
  <c r="M19" i="12"/>
  <c r="K19" i="12"/>
  <c r="G19" i="12"/>
  <c r="S18" i="12"/>
  <c r="R18" i="12"/>
  <c r="Q18" i="12"/>
  <c r="O18" i="12"/>
  <c r="M18" i="12"/>
  <c r="K18" i="12"/>
  <c r="G18" i="12"/>
  <c r="R17" i="12"/>
  <c r="T17" i="12" s="1"/>
  <c r="Q17" i="12"/>
  <c r="O17" i="12"/>
  <c r="M17" i="12"/>
  <c r="K17" i="12"/>
  <c r="G17" i="12"/>
  <c r="N14" i="12"/>
  <c r="S20" i="11"/>
  <c r="R20" i="11"/>
  <c r="U20" i="11" s="1"/>
  <c r="Q20" i="11"/>
  <c r="O20" i="11"/>
  <c r="M20" i="11"/>
  <c r="K20" i="11"/>
  <c r="G20" i="11"/>
  <c r="R19" i="11"/>
  <c r="S19" i="11" s="1"/>
  <c r="Q19" i="11"/>
  <c r="O19" i="11"/>
  <c r="M19" i="11"/>
  <c r="K19" i="11"/>
  <c r="G19" i="11"/>
  <c r="U18" i="11"/>
  <c r="R18" i="11"/>
  <c r="T18" i="11" s="1"/>
  <c r="Q18" i="11"/>
  <c r="O18" i="11"/>
  <c r="M18" i="11"/>
  <c r="K18" i="11"/>
  <c r="G18" i="11"/>
  <c r="R17" i="11"/>
  <c r="Q17" i="11"/>
  <c r="O17" i="11"/>
  <c r="M17" i="11"/>
  <c r="K17" i="11"/>
  <c r="G17" i="11"/>
  <c r="P14" i="11"/>
  <c r="N14" i="11"/>
  <c r="L14" i="11"/>
  <c r="R20" i="10"/>
  <c r="U20" i="10" s="1"/>
  <c r="Q20" i="10"/>
  <c r="O20" i="10"/>
  <c r="M20" i="10"/>
  <c r="K20" i="10"/>
  <c r="G20" i="10"/>
  <c r="T19" i="10"/>
  <c r="S19" i="10"/>
  <c r="R19" i="10"/>
  <c r="U19" i="10" s="1"/>
  <c r="Q19" i="10"/>
  <c r="O19" i="10"/>
  <c r="M19" i="10"/>
  <c r="K19" i="10"/>
  <c r="G19" i="10"/>
  <c r="U18" i="10"/>
  <c r="T18" i="10"/>
  <c r="R18" i="10"/>
  <c r="S18" i="10" s="1"/>
  <c r="Q18" i="10"/>
  <c r="O18" i="10"/>
  <c r="M18" i="10"/>
  <c r="K18" i="10"/>
  <c r="G18" i="10"/>
  <c r="R17" i="10"/>
  <c r="S17" i="10" s="1"/>
  <c r="Q17" i="10"/>
  <c r="O17" i="10"/>
  <c r="M17" i="10"/>
  <c r="K17" i="10"/>
  <c r="K21" i="10" s="1"/>
  <c r="K7" i="10" s="1"/>
  <c r="G17" i="10"/>
  <c r="J14" i="10"/>
  <c r="U20" i="9"/>
  <c r="S20" i="9"/>
  <c r="R20" i="9"/>
  <c r="T20" i="9" s="1"/>
  <c r="Q20" i="9"/>
  <c r="O20" i="9"/>
  <c r="M20" i="9"/>
  <c r="K20" i="9"/>
  <c r="G20" i="9"/>
  <c r="R19" i="9"/>
  <c r="Q19" i="9"/>
  <c r="O19" i="9"/>
  <c r="M19" i="9"/>
  <c r="K19" i="9"/>
  <c r="G19" i="9"/>
  <c r="R18" i="9"/>
  <c r="Q18" i="9"/>
  <c r="O18" i="9"/>
  <c r="M18" i="9"/>
  <c r="K18" i="9"/>
  <c r="G18" i="9"/>
  <c r="R17" i="9"/>
  <c r="U17" i="9" s="1"/>
  <c r="Q17" i="9"/>
  <c r="O17" i="9"/>
  <c r="M17" i="9"/>
  <c r="K17" i="9"/>
  <c r="G17" i="9"/>
  <c r="J14" i="9"/>
  <c r="R20" i="8"/>
  <c r="S20" i="8" s="1"/>
  <c r="Q20" i="8"/>
  <c r="O20" i="8"/>
  <c r="M20" i="8"/>
  <c r="K20" i="8"/>
  <c r="G20" i="8"/>
  <c r="R19" i="8"/>
  <c r="T19" i="8" s="1"/>
  <c r="Q19" i="8"/>
  <c r="O19" i="8"/>
  <c r="M19" i="8"/>
  <c r="K19" i="8"/>
  <c r="G19" i="8"/>
  <c r="R18" i="8"/>
  <c r="U18" i="8" s="1"/>
  <c r="Q18" i="8"/>
  <c r="O18" i="8"/>
  <c r="M18" i="8"/>
  <c r="K18" i="8"/>
  <c r="G18" i="8"/>
  <c r="R17" i="8"/>
  <c r="T17" i="8" s="1"/>
  <c r="Q17" i="8"/>
  <c r="O17" i="8"/>
  <c r="M17" i="8"/>
  <c r="K17" i="8"/>
  <c r="G17" i="8"/>
  <c r="P14" i="8"/>
  <c r="N14" i="8"/>
  <c r="R20" i="7"/>
  <c r="S20" i="7" s="1"/>
  <c r="Q20" i="7"/>
  <c r="O20" i="7"/>
  <c r="M20" i="7"/>
  <c r="K20" i="7"/>
  <c r="G20" i="7"/>
  <c r="R19" i="7"/>
  <c r="U19" i="7" s="1"/>
  <c r="Q19" i="7"/>
  <c r="O19" i="7"/>
  <c r="M19" i="7"/>
  <c r="K19" i="7"/>
  <c r="G19" i="7"/>
  <c r="R18" i="7"/>
  <c r="T18" i="7" s="1"/>
  <c r="Q18" i="7"/>
  <c r="O18" i="7"/>
  <c r="O21" i="7" s="1"/>
  <c r="O7" i="7" s="1"/>
  <c r="O8" i="7" s="1"/>
  <c r="M18" i="7"/>
  <c r="K18" i="7"/>
  <c r="G18" i="7"/>
  <c r="R17" i="7"/>
  <c r="S17" i="7" s="1"/>
  <c r="Q17" i="7"/>
  <c r="O17" i="7"/>
  <c r="M17" i="7"/>
  <c r="K17" i="7"/>
  <c r="G17" i="7"/>
  <c r="P14" i="7"/>
  <c r="R20" i="6"/>
  <c r="U20" i="6" s="1"/>
  <c r="Q20" i="6"/>
  <c r="O20" i="6"/>
  <c r="M20" i="6"/>
  <c r="K20" i="6"/>
  <c r="G20" i="6"/>
  <c r="R19" i="6"/>
  <c r="U19" i="6" s="1"/>
  <c r="Q19" i="6"/>
  <c r="O19" i="6"/>
  <c r="M19" i="6"/>
  <c r="K19" i="6"/>
  <c r="G19" i="6"/>
  <c r="R18" i="6"/>
  <c r="Q18" i="6"/>
  <c r="O18" i="6"/>
  <c r="M18" i="6"/>
  <c r="K18" i="6"/>
  <c r="G18" i="6"/>
  <c r="S17" i="6"/>
  <c r="R17" i="6"/>
  <c r="Q17" i="6"/>
  <c r="O17" i="6"/>
  <c r="M17" i="6"/>
  <c r="K17" i="6"/>
  <c r="G17" i="6"/>
  <c r="R20" i="5"/>
  <c r="T20" i="5" s="1"/>
  <c r="Q20" i="5"/>
  <c r="O20" i="5"/>
  <c r="M20" i="5"/>
  <c r="K20" i="5"/>
  <c r="G20" i="5"/>
  <c r="R19" i="5"/>
  <c r="S19" i="5" s="1"/>
  <c r="Q19" i="5"/>
  <c r="O19" i="5"/>
  <c r="M19" i="5"/>
  <c r="K19" i="5"/>
  <c r="G19" i="5"/>
  <c r="R18" i="5"/>
  <c r="T18" i="5" s="1"/>
  <c r="Q18" i="5"/>
  <c r="O18" i="5"/>
  <c r="M18" i="5"/>
  <c r="K18" i="5"/>
  <c r="G18" i="5"/>
  <c r="R17" i="5"/>
  <c r="U17" i="5" s="1"/>
  <c r="Q17" i="5"/>
  <c r="O17" i="5"/>
  <c r="O21" i="5" s="1"/>
  <c r="O7" i="5" s="1"/>
  <c r="O8" i="5" s="1"/>
  <c r="M17" i="5"/>
  <c r="K17" i="5"/>
  <c r="G17" i="5"/>
  <c r="N14" i="5"/>
  <c r="L14" i="5"/>
  <c r="J14" i="5"/>
  <c r="M21" i="4"/>
  <c r="M7" i="4" s="1"/>
  <c r="M8" i="4" s="1"/>
  <c r="L14" i="4"/>
  <c r="P14" i="3"/>
  <c r="N14" i="3"/>
  <c r="L14" i="3"/>
  <c r="R21" i="2"/>
  <c r="U21" i="2" s="1"/>
  <c r="Q21" i="2"/>
  <c r="O21" i="2"/>
  <c r="M21" i="2"/>
  <c r="K21" i="2"/>
  <c r="G21" i="2"/>
  <c r="N30" i="1"/>
  <c r="L30" i="1"/>
  <c r="J30" i="1"/>
  <c r="H30" i="1"/>
  <c r="I20" i="1" l="1"/>
  <c r="I8" i="6"/>
  <c r="I8" i="9"/>
  <c r="I23" i="1"/>
  <c r="I8" i="13"/>
  <c r="I27" i="1"/>
  <c r="I25" i="1"/>
  <c r="I8" i="11"/>
  <c r="I8" i="12"/>
  <c r="I26" i="1"/>
  <c r="I28" i="1"/>
  <c r="I8" i="14"/>
  <c r="I8" i="8"/>
  <c r="I22" i="1"/>
  <c r="I21" i="1"/>
  <c r="I8" i="7"/>
  <c r="I8" i="10"/>
  <c r="I24" i="1"/>
  <c r="I8" i="5"/>
  <c r="I19" i="1"/>
  <c r="T17" i="10"/>
  <c r="M21" i="12"/>
  <c r="M7" i="12" s="1"/>
  <c r="M8" i="12" s="1"/>
  <c r="G21" i="14"/>
  <c r="G7" i="14" s="1"/>
  <c r="K21" i="5"/>
  <c r="K7" i="5" s="1"/>
  <c r="K8" i="5" s="1"/>
  <c r="S20" i="3"/>
  <c r="T19" i="4"/>
  <c r="I8" i="3"/>
  <c r="Q21" i="5"/>
  <c r="Q7" i="5" s="1"/>
  <c r="O21" i="10"/>
  <c r="O7" i="10" s="1"/>
  <c r="O8" i="10" s="1"/>
  <c r="T20" i="11"/>
  <c r="T20" i="2"/>
  <c r="I18" i="1"/>
  <c r="M21" i="6"/>
  <c r="M7" i="6" s="1"/>
  <c r="M8" i="6" s="1"/>
  <c r="Q21" i="10"/>
  <c r="Q7" i="10" s="1"/>
  <c r="Q8" i="10" s="1"/>
  <c r="S19" i="14"/>
  <c r="T20" i="14"/>
  <c r="U20" i="2"/>
  <c r="K8" i="10"/>
  <c r="K12" i="10" s="1"/>
  <c r="I22" i="2"/>
  <c r="I7" i="2" s="1"/>
  <c r="G22" i="3"/>
  <c r="S21" i="2"/>
  <c r="G21" i="8"/>
  <c r="G7" i="8" s="1"/>
  <c r="K21" i="9"/>
  <c r="K7" i="9" s="1"/>
  <c r="K8" i="9" s="1"/>
  <c r="G21" i="5"/>
  <c r="G7" i="5" s="1"/>
  <c r="G8" i="5" s="1"/>
  <c r="O10" i="5" s="1"/>
  <c r="G21" i="6"/>
  <c r="G7" i="6" s="1"/>
  <c r="G21" i="11"/>
  <c r="G7" i="11" s="1"/>
  <c r="T18" i="2"/>
  <c r="T18" i="3"/>
  <c r="T17" i="4"/>
  <c r="U18" i="2"/>
  <c r="S19" i="2"/>
  <c r="U18" i="3"/>
  <c r="S19" i="3"/>
  <c r="U17" i="4"/>
  <c r="S18" i="4"/>
  <c r="T19" i="2"/>
  <c r="T19" i="3"/>
  <c r="T18" i="4"/>
  <c r="S17" i="2"/>
  <c r="S17" i="3"/>
  <c r="S21" i="3"/>
  <c r="S20" i="4"/>
  <c r="T20" i="4"/>
  <c r="T17" i="2"/>
  <c r="T17" i="3"/>
  <c r="T21" i="3"/>
  <c r="I7" i="1"/>
  <c r="I8" i="1" s="1"/>
  <c r="G19" i="1"/>
  <c r="S18" i="13"/>
  <c r="U20" i="13"/>
  <c r="M21" i="5"/>
  <c r="M7" i="5" s="1"/>
  <c r="M8" i="5" s="1"/>
  <c r="M12" i="5" s="1"/>
  <c r="T17" i="7"/>
  <c r="O22" i="2"/>
  <c r="O7" i="2" s="1"/>
  <c r="G21" i="12"/>
  <c r="G7" i="12" s="1"/>
  <c r="U17" i="12"/>
  <c r="Q22" i="2"/>
  <c r="Q7" i="2" s="1"/>
  <c r="K21" i="4"/>
  <c r="K7" i="4" s="1"/>
  <c r="K8" i="4" s="1"/>
  <c r="Q21" i="4"/>
  <c r="Q7" i="4" s="1"/>
  <c r="U20" i="5"/>
  <c r="Q21" i="7"/>
  <c r="Q7" i="7" s="1"/>
  <c r="Q8" i="7" s="1"/>
  <c r="K21" i="6"/>
  <c r="K7" i="6" s="1"/>
  <c r="K8" i="6" s="1"/>
  <c r="Q21" i="8"/>
  <c r="Q7" i="8" s="1"/>
  <c r="Q8" i="8" s="1"/>
  <c r="Q12" i="8" s="1"/>
  <c r="G21" i="9"/>
  <c r="G7" i="9" s="1"/>
  <c r="O21" i="9"/>
  <c r="O7" i="9" s="1"/>
  <c r="O8" i="9" s="1"/>
  <c r="G21" i="10"/>
  <c r="G7" i="10" s="1"/>
  <c r="G8" i="10" s="1"/>
  <c r="U17" i="10"/>
  <c r="Q21" i="11"/>
  <c r="Q7" i="11" s="1"/>
  <c r="S18" i="11"/>
  <c r="T19" i="11"/>
  <c r="M21" i="13"/>
  <c r="M7" i="13" s="1"/>
  <c r="S17" i="8"/>
  <c r="T20" i="8"/>
  <c r="M21" i="10"/>
  <c r="M7" i="10" s="1"/>
  <c r="M8" i="10" s="1"/>
  <c r="S17" i="12"/>
  <c r="O21" i="13"/>
  <c r="O7" i="13" s="1"/>
  <c r="O8" i="13" s="1"/>
  <c r="Q21" i="14"/>
  <c r="Q7" i="14" s="1"/>
  <c r="O12" i="5"/>
  <c r="Q21" i="13"/>
  <c r="Q7" i="13" s="1"/>
  <c r="S19" i="6"/>
  <c r="G21" i="7"/>
  <c r="G7" i="7" s="1"/>
  <c r="G8" i="7" s="1"/>
  <c r="U18" i="7"/>
  <c r="U17" i="8"/>
  <c r="S18" i="7"/>
  <c r="U17" i="7"/>
  <c r="S18" i="8"/>
  <c r="U19" i="8"/>
  <c r="U20" i="8"/>
  <c r="T18" i="8"/>
  <c r="S17" i="5"/>
  <c r="S18" i="5"/>
  <c r="T19" i="5"/>
  <c r="S20" i="5"/>
  <c r="T19" i="6"/>
  <c r="S20" i="6"/>
  <c r="K21" i="7"/>
  <c r="K7" i="7" s="1"/>
  <c r="K8" i="7" s="1"/>
  <c r="K9" i="7" s="1"/>
  <c r="M21" i="9"/>
  <c r="M7" i="9" s="1"/>
  <c r="M8" i="9" s="1"/>
  <c r="K21" i="12"/>
  <c r="K7" i="12" s="1"/>
  <c r="K8" i="12" s="1"/>
  <c r="O21" i="12"/>
  <c r="O7" i="12" s="1"/>
  <c r="O8" i="12" s="1"/>
  <c r="O12" i="12" s="1"/>
  <c r="T17" i="13"/>
  <c r="T18" i="13"/>
  <c r="T19" i="13"/>
  <c r="S20" i="13"/>
  <c r="M21" i="14"/>
  <c r="M7" i="14" s="1"/>
  <c r="M8" i="14" s="1"/>
  <c r="G21" i="4"/>
  <c r="G7" i="4" s="1"/>
  <c r="G8" i="4" s="1"/>
  <c r="O21" i="4"/>
  <c r="O7" i="4" s="1"/>
  <c r="T17" i="5"/>
  <c r="T21" i="5" s="1"/>
  <c r="U18" i="5"/>
  <c r="U19" i="5"/>
  <c r="T20" i="6"/>
  <c r="M21" i="7"/>
  <c r="M7" i="7" s="1"/>
  <c r="M21" i="8"/>
  <c r="M7" i="8" s="1"/>
  <c r="M8" i="8" s="1"/>
  <c r="T17" i="9"/>
  <c r="G21" i="13"/>
  <c r="G7" i="13" s="1"/>
  <c r="G8" i="13" s="1"/>
  <c r="U19" i="13"/>
  <c r="T21" i="2"/>
  <c r="G22" i="2"/>
  <c r="G7" i="2" s="1"/>
  <c r="M22" i="2"/>
  <c r="M7" i="2" s="1"/>
  <c r="M8" i="2" s="1"/>
  <c r="K22" i="2"/>
  <c r="K7" i="2" s="1"/>
  <c r="G17" i="1"/>
  <c r="K22" i="3"/>
  <c r="K7" i="3" s="1"/>
  <c r="K8" i="3" s="1"/>
  <c r="K12" i="8"/>
  <c r="O12" i="10"/>
  <c r="Q9" i="9"/>
  <c r="K21" i="14"/>
  <c r="K7" i="14" s="1"/>
  <c r="K8" i="14" s="1"/>
  <c r="K12" i="14" s="1"/>
  <c r="K12" i="11"/>
  <c r="L14" i="2"/>
  <c r="K11" i="10"/>
  <c r="K9" i="10"/>
  <c r="M11" i="5"/>
  <c r="M10" i="5"/>
  <c r="K21" i="11"/>
  <c r="K7" i="11" s="1"/>
  <c r="K8" i="11" s="1"/>
  <c r="K12" i="12"/>
  <c r="K12" i="6"/>
  <c r="O21" i="8"/>
  <c r="O7" i="8" s="1"/>
  <c r="O8" i="8" s="1"/>
  <c r="M12" i="9"/>
  <c r="U17" i="11"/>
  <c r="T17" i="11"/>
  <c r="T21" i="11" s="1"/>
  <c r="S17" i="11"/>
  <c r="U18" i="12"/>
  <c r="T18" i="12"/>
  <c r="O11" i="5"/>
  <c r="O9" i="5"/>
  <c r="O22" i="3"/>
  <c r="O7" i="3" s="1"/>
  <c r="O8" i="3" s="1"/>
  <c r="O21" i="6"/>
  <c r="O7" i="6" s="1"/>
  <c r="O8" i="6" s="1"/>
  <c r="S19" i="7"/>
  <c r="T21" i="8"/>
  <c r="Q21" i="9"/>
  <c r="Q7" i="9" s="1"/>
  <c r="Q8" i="9" s="1"/>
  <c r="U19" i="9"/>
  <c r="T19" i="9"/>
  <c r="S19" i="9"/>
  <c r="Q12" i="10"/>
  <c r="S20" i="10"/>
  <c r="M12" i="12"/>
  <c r="U20" i="7"/>
  <c r="T20" i="7"/>
  <c r="K21" i="13"/>
  <c r="K7" i="13" s="1"/>
  <c r="M12" i="2"/>
  <c r="Q21" i="6"/>
  <c r="Q7" i="6" s="1"/>
  <c r="U18" i="6"/>
  <c r="T18" i="6"/>
  <c r="S18" i="6"/>
  <c r="O12" i="7"/>
  <c r="T19" i="7"/>
  <c r="U18" i="9"/>
  <c r="T18" i="9"/>
  <c r="T21" i="9" s="1"/>
  <c r="T20" i="10"/>
  <c r="T21" i="10" s="1"/>
  <c r="M21" i="11"/>
  <c r="M7" i="11" s="1"/>
  <c r="U17" i="14"/>
  <c r="T17" i="14"/>
  <c r="S17" i="14"/>
  <c r="M22" i="3"/>
  <c r="M7" i="3" s="1"/>
  <c r="M8" i="3" s="1"/>
  <c r="M12" i="4"/>
  <c r="Q22" i="3"/>
  <c r="Q7" i="3" s="1"/>
  <c r="Q8" i="3" s="1"/>
  <c r="U17" i="6"/>
  <c r="T17" i="6"/>
  <c r="T21" i="6" s="1"/>
  <c r="Q12" i="7"/>
  <c r="K21" i="8"/>
  <c r="K7" i="8" s="1"/>
  <c r="K8" i="8" s="1"/>
  <c r="S17" i="9"/>
  <c r="S18" i="9"/>
  <c r="O21" i="11"/>
  <c r="O7" i="11" s="1"/>
  <c r="O8" i="11" s="1"/>
  <c r="Q21" i="12"/>
  <c r="Q7" i="12" s="1"/>
  <c r="Q8" i="12" s="1"/>
  <c r="M12" i="14"/>
  <c r="K12" i="9"/>
  <c r="U19" i="12"/>
  <c r="T19" i="12"/>
  <c r="S19" i="12"/>
  <c r="O21" i="14"/>
  <c r="O7" i="14" s="1"/>
  <c r="S19" i="8"/>
  <c r="U19" i="11"/>
  <c r="U17" i="13"/>
  <c r="U20" i="14"/>
  <c r="S20" i="12"/>
  <c r="S18" i="14"/>
  <c r="T20" i="12"/>
  <c r="T18" i="14"/>
  <c r="Q8" i="4" l="1"/>
  <c r="Q11" i="4" s="1"/>
  <c r="I8" i="2"/>
  <c r="I16" i="1"/>
  <c r="I12" i="7"/>
  <c r="I10" i="7"/>
  <c r="I9" i="7"/>
  <c r="I12" i="11"/>
  <c r="I9" i="11"/>
  <c r="O12" i="14"/>
  <c r="O8" i="14"/>
  <c r="K11" i="7"/>
  <c r="M8" i="11"/>
  <c r="M11" i="11" s="1"/>
  <c r="O12" i="4"/>
  <c r="O8" i="4"/>
  <c r="G25" i="1"/>
  <c r="G8" i="11"/>
  <c r="I10" i="11" s="1"/>
  <c r="G28" i="1"/>
  <c r="G8" i="14"/>
  <c r="Q8" i="6"/>
  <c r="Q8" i="2"/>
  <c r="Q11" i="2" s="1"/>
  <c r="G20" i="1"/>
  <c r="G8" i="6"/>
  <c r="K10" i="6" s="1"/>
  <c r="G23" i="1"/>
  <c r="G8" i="9"/>
  <c r="O10" i="9" s="1"/>
  <c r="Q8" i="5"/>
  <c r="I9" i="8"/>
  <c r="I12" i="8"/>
  <c r="I12" i="13"/>
  <c r="I10" i="13"/>
  <c r="I9" i="13"/>
  <c r="I9" i="14"/>
  <c r="I12" i="14"/>
  <c r="I10" i="14"/>
  <c r="K8" i="13"/>
  <c r="K8" i="2"/>
  <c r="K12" i="2" s="1"/>
  <c r="M8" i="7"/>
  <c r="Q8" i="13"/>
  <c r="Q10" i="13" s="1"/>
  <c r="M8" i="13"/>
  <c r="G26" i="1"/>
  <c r="G8" i="12"/>
  <c r="K10" i="12" s="1"/>
  <c r="T21" i="4"/>
  <c r="G22" i="1"/>
  <c r="G8" i="8"/>
  <c r="I10" i="8" s="1"/>
  <c r="I12" i="5"/>
  <c r="I10" i="5"/>
  <c r="I9" i="5"/>
  <c r="I12" i="9"/>
  <c r="I10" i="9"/>
  <c r="I9" i="9"/>
  <c r="G16" i="1"/>
  <c r="G8" i="2"/>
  <c r="Q12" i="14"/>
  <c r="Q8" i="14"/>
  <c r="O8" i="2"/>
  <c r="O12" i="2" s="1"/>
  <c r="I9" i="6"/>
  <c r="I12" i="6"/>
  <c r="T21" i="13"/>
  <c r="Q12" i="11"/>
  <c r="Q8" i="11"/>
  <c r="Q9" i="11" s="1"/>
  <c r="I9" i="10"/>
  <c r="I12" i="10"/>
  <c r="I10" i="10"/>
  <c r="I9" i="12"/>
  <c r="I12" i="12"/>
  <c r="Q12" i="4"/>
  <c r="Q9" i="4"/>
  <c r="I10" i="3"/>
  <c r="I9" i="3"/>
  <c r="I12" i="3"/>
  <c r="I12" i="2"/>
  <c r="I9" i="2"/>
  <c r="I9" i="1"/>
  <c r="I12" i="4"/>
  <c r="I9" i="4"/>
  <c r="K12" i="4"/>
  <c r="M12" i="8"/>
  <c r="M11" i="8"/>
  <c r="M9" i="8"/>
  <c r="O12" i="11"/>
  <c r="O9" i="11"/>
  <c r="O11" i="11"/>
  <c r="O9" i="6"/>
  <c r="O12" i="6"/>
  <c r="O11" i="6"/>
  <c r="K11" i="8"/>
  <c r="T21" i="7"/>
  <c r="Q11" i="11"/>
  <c r="K12" i="7"/>
  <c r="Q12" i="12"/>
  <c r="Q10" i="9"/>
  <c r="M9" i="11"/>
  <c r="G27" i="1"/>
  <c r="K9" i="8"/>
  <c r="M12" i="11"/>
  <c r="Q10" i="4"/>
  <c r="G18" i="1"/>
  <c r="M10" i="7"/>
  <c r="G21" i="1"/>
  <c r="T21" i="12"/>
  <c r="O9" i="14"/>
  <c r="M9" i="5"/>
  <c r="Q12" i="9"/>
  <c r="O11" i="14"/>
  <c r="K10" i="10"/>
  <c r="G24" i="1"/>
  <c r="T22" i="2"/>
  <c r="G7" i="1"/>
  <c r="K12" i="3"/>
  <c r="K12" i="5"/>
  <c r="K9" i="5"/>
  <c r="K10" i="5"/>
  <c r="K11" i="5"/>
  <c r="K9" i="11"/>
  <c r="Q11" i="9"/>
  <c r="M11" i="10"/>
  <c r="M9" i="10"/>
  <c r="O9" i="10"/>
  <c r="O11" i="10"/>
  <c r="M9" i="6"/>
  <c r="M11" i="6"/>
  <c r="M12" i="6"/>
  <c r="K11" i="11"/>
  <c r="Q10" i="14"/>
  <c r="O10" i="14"/>
  <c r="O11" i="9"/>
  <c r="O12" i="9"/>
  <c r="O9" i="9"/>
  <c r="O10" i="8"/>
  <c r="O12" i="8"/>
  <c r="O9" i="8"/>
  <c r="O11" i="8"/>
  <c r="Q9" i="8"/>
  <c r="M10" i="10"/>
  <c r="M12" i="10"/>
  <c r="Q11" i="8"/>
  <c r="Q10" i="8"/>
  <c r="O10" i="7"/>
  <c r="O11" i="7"/>
  <c r="O9" i="7"/>
  <c r="O10" i="11"/>
  <c r="M10" i="11"/>
  <c r="Q10" i="10"/>
  <c r="Q11" i="10"/>
  <c r="Q9" i="10"/>
  <c r="M10" i="6"/>
  <c r="Q10" i="6"/>
  <c r="Q11" i="13"/>
  <c r="Q9" i="13"/>
  <c r="M10" i="9"/>
  <c r="M9" i="9"/>
  <c r="M11" i="9"/>
  <c r="K11" i="9"/>
  <c r="K9" i="9"/>
  <c r="K11" i="6"/>
  <c r="K9" i="6"/>
  <c r="O10" i="12"/>
  <c r="O9" i="12"/>
  <c r="O11" i="12"/>
  <c r="Q10" i="12"/>
  <c r="Q11" i="12"/>
  <c r="Q9" i="12"/>
  <c r="M11" i="4"/>
  <c r="M9" i="4"/>
  <c r="M12" i="3"/>
  <c r="K11" i="4"/>
  <c r="T22" i="3"/>
  <c r="T21" i="14"/>
  <c r="K11" i="12"/>
  <c r="K9" i="12"/>
  <c r="Q12" i="3"/>
  <c r="K10" i="14"/>
  <c r="K11" i="14"/>
  <c r="K9" i="14"/>
  <c r="M10" i="14"/>
  <c r="M11" i="14"/>
  <c r="M9" i="14"/>
  <c r="M10" i="12"/>
  <c r="M11" i="12"/>
  <c r="M9" i="12"/>
  <c r="Q9" i="2"/>
  <c r="O12" i="3"/>
  <c r="Q10" i="7"/>
  <c r="Q11" i="7"/>
  <c r="Q9" i="7"/>
  <c r="O9" i="4"/>
  <c r="O11" i="4"/>
  <c r="I10" i="2" l="1"/>
  <c r="K11" i="2"/>
  <c r="M11" i="2"/>
  <c r="Q12" i="2"/>
  <c r="O11" i="2"/>
  <c r="G8" i="1"/>
  <c r="I10" i="1" s="1"/>
  <c r="I10" i="12"/>
  <c r="Q10" i="5"/>
  <c r="Q9" i="5"/>
  <c r="Q11" i="5"/>
  <c r="Q9" i="6"/>
  <c r="Q11" i="6"/>
  <c r="Q12" i="13"/>
  <c r="O10" i="6"/>
  <c r="M10" i="8"/>
  <c r="I10" i="6"/>
  <c r="M11" i="7"/>
  <c r="M9" i="7"/>
  <c r="Q12" i="5"/>
  <c r="Q12" i="6"/>
  <c r="M12" i="7"/>
  <c r="Q10" i="11"/>
  <c r="K10" i="8"/>
  <c r="M9" i="13"/>
  <c r="M11" i="13"/>
  <c r="K11" i="13"/>
  <c r="K9" i="13"/>
  <c r="K10" i="11"/>
  <c r="Q11" i="14"/>
  <c r="Q9" i="14"/>
  <c r="M12" i="13"/>
  <c r="K12" i="13"/>
  <c r="K10" i="4"/>
  <c r="O10" i="4"/>
  <c r="K9" i="4"/>
  <c r="K10" i="3"/>
  <c r="I10" i="4"/>
  <c r="O12" i="13"/>
  <c r="O10" i="13"/>
  <c r="O11" i="13"/>
  <c r="O9" i="13"/>
  <c r="O10" i="10"/>
  <c r="M10" i="4"/>
  <c r="M10" i="13"/>
  <c r="K10" i="13"/>
  <c r="K11" i="3"/>
  <c r="K10" i="9"/>
  <c r="K9" i="3"/>
  <c r="K10" i="7"/>
  <c r="K9" i="2"/>
  <c r="O9" i="2"/>
  <c r="Q10" i="2"/>
  <c r="O10" i="2"/>
  <c r="M9" i="2"/>
  <c r="M10" i="2"/>
  <c r="K10" i="2"/>
  <c r="M10" i="3"/>
  <c r="M9" i="3"/>
  <c r="M11" i="3"/>
  <c r="O11" i="3"/>
  <c r="O10" i="3"/>
  <c r="O9" i="3"/>
  <c r="Q11" i="3"/>
  <c r="Q9" i="3"/>
  <c r="Q10" i="3"/>
</calcChain>
</file>

<file path=xl/sharedStrings.xml><?xml version="1.0" encoding="utf-8"?>
<sst xmlns="http://schemas.openxmlformats.org/spreadsheetml/2006/main" count="771" uniqueCount="152">
  <si>
    <t>RIPPOTAI ARCHITECTURE  |  COMPARATIVE STATEMENT OF QUOTATIONS (CQ)  —  SAME SCOPE, MULTIPLE VENDORS</t>
  </si>
  <si>
    <t>Project:</t>
  </si>
  <si>
    <t>Client:</t>
  </si>
  <si>
    <t>Prepared by:</t>
  </si>
  <si>
    <t>Date:</t>
  </si>
  <si>
    <t>COMMERCIAL SUMMARY   (auto-calculated — only the vendor names below are typed)</t>
  </si>
  <si>
    <t>Metric</t>
  </si>
  <si>
    <t>In-house Budget</t>
  </si>
  <si>
    <t>Vendor 1 — name</t>
  </si>
  <si>
    <t>Vendor 2 — name</t>
  </si>
  <si>
    <t>Vendor 3 — name</t>
  </si>
  <si>
    <t>Vendor 4 — name</t>
  </si>
  <si>
    <t>Variance vs Budget (₹)</t>
  </si>
  <si>
    <t>—</t>
  </si>
  <si>
    <t>Variance vs Budget (%)</t>
  </si>
  <si>
    <t>Rank (L1 = lowest)</t>
  </si>
  <si>
    <t>Line items not quoted</t>
  </si>
  <si>
    <t>L1 ANALYSIS (auto)</t>
  </si>
  <si>
    <t>REMARKS</t>
  </si>
  <si>
    <t>S.No</t>
  </si>
  <si>
    <t>Item Description</t>
  </si>
  <si>
    <t>Specification / Make</t>
  </si>
  <si>
    <t>Unit</t>
  </si>
  <si>
    <t>Qty</t>
  </si>
  <si>
    <t>Budget Rate</t>
  </si>
  <si>
    <t>Budget Amount</t>
  </si>
  <si>
    <t>Rate</t>
  </si>
  <si>
    <t>Amount</t>
  </si>
  <si>
    <t>L1 Rate</t>
  </si>
  <si>
    <t>L1 Vendor</t>
  </si>
  <si>
    <t>L1 Amount</t>
  </si>
  <si>
    <t>L1 vs Budget</t>
  </si>
  <si>
    <t>Remarks / Qualification</t>
  </si>
  <si>
    <t>1.  Site Preparation, Demolition &amp; Debris Removal</t>
  </si>
  <si>
    <t>Sub-total  —  Site Preparation, Demolition &amp; Debris Removal</t>
  </si>
  <si>
    <t>2.  Civil Works, Masonry &amp; Plaster</t>
  </si>
  <si>
    <t>Sub-total  —  Civil Works, Masonry &amp; Plaster</t>
  </si>
  <si>
    <t>3.  Waterproofing</t>
  </si>
  <si>
    <t>Sub-total  —  Waterproofing</t>
  </si>
  <si>
    <t>4.  Flooring &amp; Stone</t>
  </si>
  <si>
    <t>Sub-total  —  Flooring &amp; Stone</t>
  </si>
  <si>
    <t>5.  False Ceiling &amp; Drywall Partitions</t>
  </si>
  <si>
    <t>Sub-total  —  False Ceiling &amp; Drywall Partitions</t>
  </si>
  <si>
    <t>6.  Carpentry &amp; Joinery</t>
  </si>
  <si>
    <t>Sub-total  —  Carpentry &amp; Joinery</t>
  </si>
  <si>
    <t>7.  Glass, Aluminium &amp; Hardware</t>
  </si>
  <si>
    <t>Sub-total  —  Glass, Aluminium &amp; Hardware</t>
  </si>
  <si>
    <t>8.  Electrical &amp; Low-Voltage</t>
  </si>
  <si>
    <t>Sub-total  —  Electrical &amp; Low-Voltage</t>
  </si>
  <si>
    <t>9.  Plumbing &amp; Sanitary</t>
  </si>
  <si>
    <t>Sub-total  —  Plumbing &amp; Sanitary</t>
  </si>
  <si>
    <t>10. HVAC</t>
  </si>
  <si>
    <t>Sub-total  —  HVAC</t>
  </si>
  <si>
    <t>11. Painting &amp; Wall Finishes</t>
  </si>
  <si>
    <t>Sub-total  —  Painting &amp; Wall Finishes</t>
  </si>
  <si>
    <t>12. Loose Furniture &amp; Furnishings</t>
  </si>
  <si>
    <t>Sub-total  —  Loose Furniture &amp; Furnishings</t>
  </si>
  <si>
    <t>13. Site Overheads, Supervision &amp; Miscellaneous</t>
  </si>
  <si>
    <t>Sub-total  —  Site Overheads, Supervision &amp; Miscellaneous</t>
  </si>
  <si>
    <t>COMMERCIAL TERMS, QUALIFICATIONS &amp; EXCLUSIONS   (enter verbatim from each vendor's quotation)</t>
  </si>
  <si>
    <t>Parameter</t>
  </si>
  <si>
    <t>Rippotai note / risk flag</t>
  </si>
  <si>
    <t>Quotation reference &amp; date</t>
  </si>
  <si>
    <t>Payment terms (stage-wise)</t>
  </si>
  <si>
    <t>Advance demanded (%)</t>
  </si>
  <si>
    <t>Retention / security deposit</t>
  </si>
  <si>
    <t>Execution timeline (days from LOI)</t>
  </si>
  <si>
    <t>Mobilisation lead time</t>
  </si>
  <si>
    <t>Quote validity</t>
  </si>
  <si>
    <t>Freight, loading &amp; unloading</t>
  </si>
  <si>
    <t>Wastage / breakage policy</t>
  </si>
  <si>
    <t>Site facilities expected from Rippotai</t>
  </si>
  <si>
    <t>Labour, T&amp;P and scaffolding — in scope?</t>
  </si>
  <si>
    <t>Warranty / defect liability period</t>
  </si>
  <si>
    <t>Declared exclusions</t>
  </si>
  <si>
    <t>Deviations from our BOQ scope</t>
  </si>
  <si>
    <t>Prior work with us (project &amp; year)</t>
  </si>
  <si>
    <t>Statutory / labour compliance docs on file</t>
  </si>
  <si>
    <t>EVALUATION &amp; RECOMMENDATION</t>
  </si>
  <si>
    <t>Technically compliant vendors (Y/N per vendor)</t>
  </si>
  <si>
    <t>Lowest total (L1) as per summary above</t>
  </si>
  <si>
    <t>Vendor recommended for award</t>
  </si>
  <si>
    <t>Reason if L1 is NOT being awarded (mandatory)</t>
  </si>
  <si>
    <t>Negotiated final value (₹, ex GST)</t>
  </si>
  <si>
    <t>Recommended by / date</t>
  </si>
  <si>
    <t>Approved by / date</t>
  </si>
  <si>
    <t>HOW TO USE THIS SHEET</t>
  </si>
  <si>
    <t>•  BLUE text = you type here. Yellow fill = must be filled before the sheet means anything (project header, vendor names, GST rate, recommendation).</t>
  </si>
  <si>
    <t>•  BLACK text = formula. Do not overwrite: Budget Amount (G), every vendor Amount column, L1 Rate / L1 Vendor / L1 Amount / L1 vs Budget (P:S), all sub-totals, and the whole Commercial Summary.</t>
  </si>
  <si>
    <t>•  Enter ONE quantity per line in column E. Every vendor is priced against that same quantity — that is the entire point of the sheet. A vendor who disputes the qty gets a Remark, not an edited cell.</t>
  </si>
  <si>
    <t>•  Enter all vendor rates EX-GST. If a vendor quotes inclusive, strip the tax before entering and note it under 'Rate basis'.</t>
  </si>
  <si>
    <t>•  A blank rate = not quoted. It is excluded from L1 and counted in 'Line items not quoted'. A partial quote that wins on total is usually not the cheapest — check that row before you award.</t>
  </si>
  <si>
    <t>•  Green cell = that vendor is L1 on that line. Pink cell = that vendor left the line unpriced.</t>
  </si>
  <si>
    <t>•  Add rows inside a section (right-click &gt; Insert), then copy the formulas down from the row above. Section sub-totals and the summary pick them up automatically.</t>
  </si>
  <si>
    <t>•  Add a 5th vendor by copying the N:O pair; you will need to extend the L1 formulas in P and Q manually.</t>
  </si>
  <si>
    <t>•  Sub-total rows exclude GST. Compare vendors on the ex-GST sub-total when their GST treatment differs.</t>
  </si>
  <si>
    <t>RIPPOTAI ARCHITECTURE  |  1.  Site Preparation, Demolition &amp; Debris Removal  —  COMPARATIVE STATEMENT OF QUOTATIONS</t>
  </si>
  <si>
    <t>COMMERCIAL SUMMARY  —  1.  Site Preparation, Demolition &amp; Debris Removal   (auto-calculated)</t>
  </si>
  <si>
    <t>SCOPE, QUANTITY &amp; IN-HOUSE BUDGET  —  1.  Site Preparation, Demolition &amp; Debris Removal</t>
  </si>
  <si>
    <t>RIPPOTAI ARCHITECTURE  |  2.  Civil Works, Masonry &amp; Plaster  —  COMPARATIVE STATEMENT OF QUOTATIONS</t>
  </si>
  <si>
    <t>COMMERCIAL SUMMARY  —  2.  Civil Works, Masonry &amp; Plaster   (auto-calculated)</t>
  </si>
  <si>
    <t>SCOPE, QUANTITY &amp; IN-HOUSE BUDGET  —  2.  Civil Works, Masonry &amp; Plaster</t>
  </si>
  <si>
    <t>RIPPOTAI ARCHITECTURE  |  3.  Waterproofing  —  COMPARATIVE STATEMENT OF QUOTATIONS</t>
  </si>
  <si>
    <t>COMMERCIAL SUMMARY  —  3.  Waterproofing   (auto-calculated)</t>
  </si>
  <si>
    <t>SCOPE, QUANTITY &amp; IN-HOUSE BUDGET  —  3.  Waterproofing</t>
  </si>
  <si>
    <t>RIPPOTAI ARCHITECTURE  |  4.  Flooring &amp; Stone  —  COMPARATIVE STATEMENT OF QUOTATIONS</t>
  </si>
  <si>
    <t>COMMERCIAL SUMMARY  —  4.  Flooring &amp; Stone   (auto-calculated)</t>
  </si>
  <si>
    <t>SCOPE, QUANTITY &amp; IN-HOUSE BUDGET  —  4.  Flooring &amp; Stone</t>
  </si>
  <si>
    <t>RIPPOTAI ARCHITECTURE  |  5.  False Ceiling &amp; Drywall Partitions  —  COMPARATIVE STATEMENT OF QUOTATIONS</t>
  </si>
  <si>
    <t>COMMERCIAL SUMMARY  —  5.  False Ceiling &amp; Drywall Partitions   (auto-calculated)</t>
  </si>
  <si>
    <t>SCOPE, QUANTITY &amp; IN-HOUSE BUDGET  —  5.  False Ceiling &amp; Drywall Partitions</t>
  </si>
  <si>
    <t>RIPPOTAI ARCHITECTURE  |  6.  Carpentry &amp; Joinery  —  COMPARATIVE STATEMENT OF QUOTATIONS</t>
  </si>
  <si>
    <t>COMMERCIAL SUMMARY  —  6.  Carpentry &amp; Joinery   (auto-calculated)</t>
  </si>
  <si>
    <t>SCOPE, QUANTITY &amp; IN-HOUSE BUDGET  —  6.  Carpentry &amp; Joinery</t>
  </si>
  <si>
    <t>RIPPOTAI ARCHITECTURE  |  7.  Glass, Aluminium &amp; Hardware  —  COMPARATIVE STATEMENT OF QUOTATIONS</t>
  </si>
  <si>
    <t>COMMERCIAL SUMMARY  —  7.  Glass, Aluminium &amp; Hardware   (auto-calculated)</t>
  </si>
  <si>
    <t>SCOPE, QUANTITY &amp; IN-HOUSE BUDGET  —  7.  Glass, Aluminium &amp; Hardware</t>
  </si>
  <si>
    <t>RIPPOTAI ARCHITECTURE  |  8.  Electrical &amp; Low-Voltage  —  COMPARATIVE STATEMENT OF QUOTATIONS</t>
  </si>
  <si>
    <t>COMMERCIAL SUMMARY  —  8.  Electrical &amp; Low-Voltage   (auto-calculated)</t>
  </si>
  <si>
    <t>SCOPE, QUANTITY &amp; IN-HOUSE BUDGET  —  8.  Electrical &amp; Low-Voltage</t>
  </si>
  <si>
    <t>RIPPOTAI ARCHITECTURE  |  9.  Plumbing &amp; Sanitary  —  COMPARATIVE STATEMENT OF QUOTATIONS</t>
  </si>
  <si>
    <t>COMMERCIAL SUMMARY  —  9.  Plumbing &amp; Sanitary   (auto-calculated)</t>
  </si>
  <si>
    <t>SCOPE, QUANTITY &amp; IN-HOUSE BUDGET  —  9.  Plumbing &amp; Sanitary</t>
  </si>
  <si>
    <t>RIPPOTAI ARCHITECTURE  |  10. HVAC  —  COMPARATIVE STATEMENT OF QUOTATIONS</t>
  </si>
  <si>
    <t>COMMERCIAL SUMMARY  —  10. HVAC   (auto-calculated)</t>
  </si>
  <si>
    <t>SCOPE, QUANTITY &amp; IN-HOUSE BUDGET  —  10. HVAC</t>
  </si>
  <si>
    <t>RIPPOTAI ARCHITECTURE  |  11. Painting &amp; Wall Finishes  —  COMPARATIVE STATEMENT OF QUOTATIONS</t>
  </si>
  <si>
    <t>COMMERCIAL SUMMARY  —  11. Painting &amp; Wall Finishes   (auto-calculated)</t>
  </si>
  <si>
    <t>SCOPE, QUANTITY &amp; IN-HOUSE BUDGET  —  11. Painting &amp; Wall Finishes</t>
  </si>
  <si>
    <t>RIPPOTAI ARCHITECTURE  |  12. Loose Furniture &amp; Furnishings  —  COMPARATIVE STATEMENT OF QUOTATIONS</t>
  </si>
  <si>
    <t>COMMERCIAL SUMMARY  —  12. Loose Furniture &amp; Furnishings   (auto-calculated)</t>
  </si>
  <si>
    <t>SCOPE, QUANTITY &amp; IN-HOUSE BUDGET  —  12. Loose Furniture &amp; Furnishings</t>
  </si>
  <si>
    <t>RIPPOTAI ARCHITECTURE  |  13. Site Overheads, Supervision &amp; Miscellaneous  —  COMPARATIVE STATEMENT OF QUOTATIONS</t>
  </si>
  <si>
    <t>COMMERCIAL SUMMARY  —  13. Site Overheads, Supervision &amp; Miscellaneous   (auto-calculated)</t>
  </si>
  <si>
    <t>SCOPE, QUANTITY &amp; IN-HOUSE BUDGET  —  13. Site Overheads, Supervision &amp; Miscellaneous</t>
  </si>
  <si>
    <t>SCOPE BREAKDOWN  —  EACH TRADE IS ITS OWN SHEET (click to open)</t>
  </si>
  <si>
    <t>No.</t>
  </si>
  <si>
    <t>Scope / Trade</t>
  </si>
  <si>
    <t>BOQ Rate</t>
  </si>
  <si>
    <t>BOQ Amount</t>
  </si>
  <si>
    <t>QUALIFIED / FINALISED VENDOR  (your selection — not automatic)</t>
  </si>
  <si>
    <t>Finalised (Qualified Vendors)</t>
  </si>
  <si>
    <t>Line items not quoted / trades pending</t>
  </si>
  <si>
    <t>Qualified Vendor</t>
  </si>
  <si>
    <t>metal staircase</t>
  </si>
  <si>
    <t>Sqft</t>
  </si>
  <si>
    <t>Sub-total</t>
  </si>
  <si>
    <t>Total</t>
  </si>
  <si>
    <t>BOQ Sub-total</t>
  </si>
  <si>
    <t>Finalised</t>
  </si>
  <si>
    <t>Finalised Sub-total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</si>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</sst>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\(0.0%\);\-"/>
    <numFmt numFmtId="165" formatCode="\₹#,##0;&quot;(₹&quot;#,##0\);\-"/>
    <numFmt numFmtId="166" formatCode="\₹#,##0.00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A5F"/>
      <name val="Arial"/>
      <family val="2"/>
    </font>
    <font>
      <b/>
      <sz val="10"/>
      <color rgb="FF173B2E"/>
      <name val="Arial"/>
      <family val="2"/>
    </font>
    <font>
      <sz val="1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3B0"/>
        <bgColor rgb="FFFFFFCC"/>
      </patternFill>
    </fill>
    <fill>
      <patternFill patternType="solid">
        <fgColor rgb="FF2E5A88"/>
        <bgColor rgb="FF595959"/>
      </patternFill>
    </fill>
    <fill>
      <patternFill patternType="solid">
        <fgColor rgb="FFD9D9D9"/>
        <bgColor rgb="FFE4ECF4"/>
      </patternFill>
    </fill>
    <fill>
      <patternFill patternType="solid">
        <fgColor rgb="FFE4ECF4"/>
        <bgColor rgb="FFD9D9D9"/>
      </patternFill>
    </fill>
    <fill>
      <patternFill patternType="solid">
        <fgColor rgb="FF173B2E"/>
        <bgColor indexed="64"/>
      </patternFill>
    </fill>
    <fill>
      <patternFill patternType="solid">
        <fgColor rgb="FF2F6E52"/>
        <bgColor indexed="64"/>
      </patternFill>
    </fill>
    <fill>
      <patternFill patternType="solid">
        <fgColor rgb="FFE7F0E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5E6C4"/>
        <bgColor indexed="64"/>
      </patternFill>
    </fill>
    <fill>
      <patternFill patternType="solid">
        <fgColor rgb="FFFFF3B0"/>
        <bgColor indexed="64"/>
      </patternFill>
    </fill>
  </fills>
  <borders count="13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medium">
        <color rgb="FF1F3A5F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medium">
        <color rgb="FF173B2E"/>
      </top>
      <bottom style="thin">
        <color rgb="FFB0B0B0"/>
      </bottom>
      <diagonal/>
    </border>
    <border>
      <left/>
      <right/>
      <top/>
      <bottom style="medium">
        <color rgb="FFC9A227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medium">
        <color rgb="FFC9A227"/>
      </top>
      <bottom/>
      <diagonal/>
    </border>
    <border>
      <left/>
      <right/>
      <top style="medium">
        <color rgb="FFC9A227"/>
      </top>
      <bottom/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0">
    <xf numFmtId="0" fontId="0" fillId="0" borderId="0" xfId="0"/>
    <xf numFmtId="0" fontId="3" fillId="5" borderId="3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4" borderId="2" xfId="0" applyFont="1" applyFill="1" applyBorder="1" applyAlignment="1">
      <alignment horizontal="center" vertical="center" wrapText="1"/>
    </xf>
    <xf numFmtId="165" fontId="8" fillId="0" borderId="2" xfId="0" applyNumberFormat="1" applyFont="1" applyBorder="1"/>
    <xf numFmtId="0" fontId="8" fillId="0" borderId="2" xfId="0" applyFont="1" applyBorder="1" applyAlignment="1">
      <alignment horizontal="center" vertical="center" wrapText="1"/>
    </xf>
    <xf numFmtId="164" fontId="8" fillId="0" borderId="2" xfId="0" applyNumberFormat="1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166" fontId="4" fillId="0" borderId="2" xfId="0" applyNumberFormat="1" applyFont="1" applyBorder="1"/>
    <xf numFmtId="166" fontId="8" fillId="0" borderId="2" xfId="0" applyNumberFormat="1" applyFont="1" applyBorder="1"/>
    <xf numFmtId="165" fontId="3" fillId="5" borderId="3" xfId="0" applyNumberFormat="1" applyFont="1" applyFill="1" applyBorder="1"/>
    <xf numFmtId="0" fontId="0" fillId="5" borderId="3" xfId="0" applyFill="1" applyBorder="1"/>
    <xf numFmtId="0" fontId="7" fillId="6" borderId="2" xfId="0" applyFont="1" applyFill="1" applyBorder="1" applyAlignment="1">
      <alignment horizontal="center" vertical="center" wrapText="1"/>
    </xf>
    <xf numFmtId="165" fontId="3" fillId="8" borderId="2" xfId="0" applyNumberFormat="1" applyFont="1" applyFill="1" applyBorder="1"/>
    <xf numFmtId="0" fontId="8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166" fontId="4" fillId="0" borderId="4" xfId="0" applyNumberFormat="1" applyFont="1" applyBorder="1"/>
    <xf numFmtId="165" fontId="8" fillId="0" borderId="4" xfId="0" applyNumberFormat="1" applyFont="1" applyBorder="1"/>
    <xf numFmtId="166" fontId="8" fillId="0" borderId="4" xfId="0" applyNumberFormat="1" applyFont="1" applyBorder="1"/>
    <xf numFmtId="164" fontId="8" fillId="0" borderId="4" xfId="0" applyNumberFormat="1" applyFont="1" applyBorder="1"/>
    <xf numFmtId="0" fontId="3" fillId="8" borderId="6" xfId="0" applyFont="1" applyFill="1" applyBorder="1" applyAlignment="1">
      <alignment horizontal="right" vertical="center"/>
    </xf>
    <xf numFmtId="165" fontId="3" fillId="8" borderId="6" xfId="0" applyNumberFormat="1" applyFont="1" applyFill="1" applyBorder="1"/>
    <xf numFmtId="0" fontId="0" fillId="8" borderId="6" xfId="0" applyFill="1" applyBorder="1"/>
    <xf numFmtId="0" fontId="11" fillId="0" borderId="0" xfId="0" applyFont="1"/>
    <xf numFmtId="0" fontId="3" fillId="9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/>
    </xf>
    <xf numFmtId="0" fontId="15" fillId="0" borderId="0" xfId="0" applyFont="1"/>
    <xf numFmtId="165" fontId="15" fillId="0" borderId="0" xfId="0" applyNumberFormat="1" applyFont="1"/>
    <xf numFmtId="165" fontId="8" fillId="0" borderId="0" xfId="0" applyNumberFormat="1" applyFont="1"/>
    <xf numFmtId="165" fontId="3" fillId="8" borderId="0" xfId="0" applyNumberFormat="1" applyFont="1" applyFill="1"/>
    <xf numFmtId="0" fontId="8" fillId="0" borderId="0" xfId="0" applyFont="1" applyAlignment="1">
      <alignment horizontal="center" vertical="center" wrapText="1"/>
    </xf>
    <xf numFmtId="0" fontId="13" fillId="0" borderId="0" xfId="0" applyFont="1"/>
    <xf numFmtId="0" fontId="10" fillId="0" borderId="0" xfId="0" applyFont="1"/>
    <xf numFmtId="0" fontId="14" fillId="0" borderId="0" xfId="0" applyFont="1" applyAlignment="1">
      <alignment horizontal="right"/>
    </xf>
    <xf numFmtId="165" fontId="14" fillId="0" borderId="0" xfId="0" applyNumberFormat="1" applyFont="1"/>
    <xf numFmtId="0" fontId="2" fillId="6" borderId="7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7" fillId="7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right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16" fillId="0" borderId="0" xfId="1" applyFont="1"/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/>
    </xf>
    <xf numFmtId="0" fontId="14" fillId="9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 wrapText="1"/>
    </xf>
    <xf numFmtId="165" fontId="1" fillId="0" borderId="0" xfId="0" applyNumberFormat="1" applyFont="1"/>
  </cellXfs>
  <cellStyles count="2">
    <cellStyle name="Hyperlink" xfId="1" builtinId="8"/>
    <cellStyle name="Normal" xfId="0" builtinId="0"/>
  </cellStyles>
  <dxfs count="98"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  <dxf>
      <fill>
        <patternFill>
          <bgColor rgb="FFFFD9D9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4EC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3B0"/>
      <rgbColor rgb="FF99CCFF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184D2F-5223-9346-ADC0-218B3843787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2a2570-8393-4205-ae40-6b6421b5ad8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B2E"/>
    <pageSetUpPr fitToPage="1"/>
  </sheetPr>
  <dimension ref="A1:T66"/>
  <sheetViews>
    <sheetView showGridLines="0" tabSelected="1" zoomScaleNormal="100" workbookViewId="0">
      <pane xSplit="5" ySplit="28" topLeftCell="F53" activePane="bottomRight" state="frozen"/>
      <selection pane="topRight" activeCell="F1" sqref="F1"/>
      <selection pane="bottomLeft" activeCell="A18" sqref="A18"/>
      <selection pane="bottomRight" activeCell="B16" sqref="B16:F16"/>
    </sheetView>
  </sheetViews>
  <sheetFormatPr defaultColWidth="8.7109375" defaultRowHeight="15" x14ac:dyDescent="0.25"/>
  <cols>
    <col min="1" max="1" width="17.140625" customWidth="1"/>
    <col min="2" max="2" width="42" customWidth="1"/>
    <col min="3" max="3" width="26" customWidth="1"/>
    <col min="4" max="4" width="7" customWidth="1"/>
    <col min="5" max="6" width="12" customWidth="1"/>
    <col min="7" max="7" width="14" customWidth="1"/>
    <col min="8" max="8" width="12" customWidth="1"/>
    <col min="9" max="9" width="14" customWidth="1"/>
    <col min="10" max="10" width="12" customWidth="1"/>
    <col min="11" max="11" width="14" customWidth="1"/>
    <col min="12" max="12" width="12" customWidth="1"/>
    <col min="13" max="13" width="14" customWidth="1"/>
    <col min="14" max="14" width="12" customWidth="1"/>
    <col min="15" max="15" width="14" customWidth="1"/>
    <col min="16" max="16" width="12" customWidth="1"/>
    <col min="17" max="17" width="16" customWidth="1"/>
    <col min="18" max="18" width="14" customWidth="1"/>
    <col min="19" max="19" width="12" customWidth="1"/>
    <col min="20" max="20" width="30" customWidth="1"/>
  </cols>
  <sheetData>
    <row r="1" spans="1:20" ht="25.5" customHeight="1" thickBo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x14ac:dyDescent="0.25">
      <c r="A2" s="2" t="s">
        <v>1</v>
      </c>
      <c r="B2" s="38"/>
      <c r="C2" s="39"/>
      <c r="D2" s="39"/>
      <c r="E2" s="2" t="s">
        <v>2</v>
      </c>
      <c r="F2" s="42"/>
      <c r="G2" s="42"/>
      <c r="H2" s="42"/>
      <c r="I2" s="2"/>
      <c r="J2" s="42"/>
      <c r="K2" s="42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25">
      <c r="A3" s="2"/>
      <c r="B3" s="40"/>
      <c r="C3" s="41"/>
      <c r="D3" s="41"/>
      <c r="E3" s="2" t="s">
        <v>3</v>
      </c>
      <c r="F3" s="43"/>
      <c r="G3" s="43"/>
      <c r="H3" s="43"/>
      <c r="I3" s="2" t="s">
        <v>4</v>
      </c>
      <c r="J3" s="43"/>
      <c r="K3" s="43"/>
      <c r="L3" s="25"/>
      <c r="M3" s="25"/>
      <c r="N3" s="25"/>
      <c r="O3" s="25"/>
      <c r="P3" s="25"/>
      <c r="Q3" s="25"/>
      <c r="R3" s="25"/>
      <c r="S3" s="25"/>
      <c r="T3" s="25"/>
    </row>
    <row r="5" spans="1:20" ht="19.5" customHeight="1" x14ac:dyDescent="0.25">
      <c r="A5" s="45" t="s">
        <v>5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</row>
    <row r="6" spans="1:20" ht="21.75" customHeight="1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47" t="s">
        <v>141</v>
      </c>
      <c r="I6" s="47"/>
      <c r="J6" s="47"/>
      <c r="K6" s="47"/>
      <c r="L6" s="47"/>
      <c r="M6" s="47"/>
      <c r="N6" s="47"/>
      <c r="O6" s="47"/>
    </row>
    <row r="7" spans="1:20" x14ac:dyDescent="0.25">
      <c r="A7" s="44" t="s">
        <v>146</v>
      </c>
      <c r="B7" s="44"/>
      <c r="C7" s="44"/>
      <c r="D7" s="44"/>
      <c r="E7" s="44"/>
      <c r="F7" s="44"/>
      <c r="G7" s="4">
        <f>'1. Site Preparation'!G7+'2. Civil Works'!G7+'3. Waterproofing'!G7+'4. Flooring &amp; Stone'!G7+'5. False Ceiling'!G7+'6. Carpentry'!G7+'7. Glass &amp; Alu'!G7+'8. Electrical'!G7+'9. Plumbing'!G7+'10. HVAC'!G7+'11. Painting'!G7+'12. Loose Furniture'!G7+'13. Site Overheads'!G7</f>
        <v>100000</v>
      </c>
      <c r="I7" s="4">
        <f>N('1. Site Preparation'!H13)+N('2. Civil Works'!H13)+N('3. Waterproofing'!H13)+N('4. Flooring &amp; Stone'!H13)+N('5. False Ceiling'!H13)+N('6. Carpentry'!H13)+N('7. Glass &amp; Alu'!H13)+N('8. Electrical'!H13)+N('9. Plumbing'!H13)+N('10. HVAC'!H13)+N('11. Painting'!H13)+N('12. Loose Furniture'!H13)+N('13. Site Overheads'!H13)</f>
        <v>0</v>
      </c>
      <c r="K7" s="4"/>
      <c r="M7" s="4"/>
      <c r="O7" s="4"/>
    </row>
    <row r="8" spans="1:20" x14ac:dyDescent="0.25">
      <c r="A8" s="54" t="s">
        <v>147</v>
      </c>
      <c r="B8" s="54"/>
      <c r="C8" s="54"/>
      <c r="D8" s="54"/>
      <c r="E8" s="54"/>
      <c r="F8" s="54"/>
      <c r="G8" s="14">
        <f>G7</f>
        <v>100000</v>
      </c>
      <c r="I8" s="14">
        <f>I7</f>
        <v>0</v>
      </c>
      <c r="K8" s="14"/>
      <c r="M8" s="14"/>
      <c r="O8" s="14"/>
    </row>
    <row r="9" spans="1:20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I9" s="4" t="str">
        <f>IF(I8=0,"",I8-$G$8)</f>
        <v/>
      </c>
      <c r="K9" s="4"/>
      <c r="M9" s="4"/>
      <c r="O9" s="4"/>
    </row>
    <row r="10" spans="1:20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I10" s="6" t="str">
        <f>IF(OR(I8=0,$G$8=0),"",I8/$G$8-1)</f>
        <v/>
      </c>
      <c r="K10" s="6"/>
      <c r="M10" s="6"/>
      <c r="O10" s="6"/>
    </row>
    <row r="11" spans="1:20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I11" s="5" t="s">
        <v>13</v>
      </c>
      <c r="K11" s="5"/>
      <c r="M11" s="5"/>
      <c r="O11" s="5"/>
    </row>
    <row r="12" spans="1:20" x14ac:dyDescent="0.25">
      <c r="A12" s="44" t="s">
        <v>142</v>
      </c>
      <c r="B12" s="44"/>
      <c r="C12" s="44"/>
      <c r="D12" s="44"/>
      <c r="E12" s="44"/>
      <c r="F12" s="44"/>
      <c r="G12" s="5" t="s">
        <v>13</v>
      </c>
      <c r="I12" s="5">
        <f>COUNTBLANK('1. Site Preparation'!C13)+COUNTBLANK('2. Civil Works'!C13)+COUNTBLANK('3. Waterproofing'!C13)+COUNTBLANK('4. Flooring &amp; Stone'!C13)+COUNTBLANK('5. False Ceiling'!C13)+COUNTBLANK('6. Carpentry'!C13)+COUNTBLANK('7. Glass &amp; Alu'!C13)+COUNTBLANK('8. Electrical'!C13)+COUNTBLANK('9. Plumbing'!C13)+COUNTBLANK('10. HVAC'!C13)+COUNTBLANK('11. Painting'!C13)+COUNTBLANK('12. Loose Furniture'!C13)+COUNTBLANK('13. Site Overheads'!C13)</f>
        <v>13</v>
      </c>
      <c r="K12" s="5"/>
      <c r="M12" s="5"/>
      <c r="O12" s="5"/>
    </row>
    <row r="14" spans="1:20" x14ac:dyDescent="0.25">
      <c r="A14" s="63" t="s">
        <v>135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</row>
    <row r="15" spans="1:20" x14ac:dyDescent="0.25">
      <c r="A15" s="27" t="s">
        <v>136</v>
      </c>
      <c r="B15" s="64" t="s">
        <v>137</v>
      </c>
      <c r="C15" s="64"/>
      <c r="D15" s="64"/>
      <c r="E15" s="64"/>
      <c r="F15" s="64"/>
      <c r="G15" s="26" t="s">
        <v>146</v>
      </c>
      <c r="H15" s="27"/>
      <c r="I15" s="27" t="s">
        <v>148</v>
      </c>
      <c r="J15" s="27"/>
      <c r="K15" s="27" t="s">
        <v>143</v>
      </c>
      <c r="L15" s="27"/>
      <c r="M15" s="27" t="s">
        <v>149</v>
      </c>
      <c r="N15" s="27"/>
      <c r="O15" s="27"/>
      <c r="P15" s="27"/>
      <c r="Q15" s="27"/>
      <c r="R15" s="27"/>
      <c r="S15" s="27"/>
      <c r="T15" s="27"/>
    </row>
    <row r="16" spans="1:20" x14ac:dyDescent="0.25">
      <c r="A16" s="28">
        <v>1</v>
      </c>
      <c r="B16" s="56" t="s">
        <v>33</v>
      </c>
      <c r="C16" s="56"/>
      <c r="D16" s="56"/>
      <c r="E16" s="56"/>
      <c r="F16" s="56"/>
      <c r="G16" s="29">
        <f>'1. Site Preparation'!G7</f>
        <v>0</v>
      </c>
      <c r="H16" s="28"/>
      <c r="I16" s="28">
        <f>'1. Site Preparation'!I7</f>
        <v>0</v>
      </c>
      <c r="J16" s="28"/>
      <c r="K16" s="28">
        <f>'1. Site Preparation'!C13</f>
        <v>0</v>
      </c>
      <c r="L16" s="28"/>
      <c r="M16" s="28" t="str">
        <f>'1. Site Preparation'!H13</f>
        <v/>
      </c>
      <c r="N16" s="28"/>
      <c r="O16" s="28"/>
      <c r="P16" s="28"/>
      <c r="Q16" s="28"/>
      <c r="R16" s="28"/>
      <c r="S16" s="28"/>
      <c r="T16" s="28"/>
    </row>
    <row r="17" spans="1:20" x14ac:dyDescent="0.25">
      <c r="A17" s="28">
        <v>2</v>
      </c>
      <c r="B17" s="56" t="s">
        <v>35</v>
      </c>
      <c r="C17" s="56"/>
      <c r="D17" s="56"/>
      <c r="E17" s="56"/>
      <c r="F17" s="56"/>
      <c r="G17" s="29">
        <f>'2. Civil Works'!G7</f>
        <v>100000</v>
      </c>
      <c r="H17" s="28"/>
      <c r="I17" s="28">
        <f>'2. Civil Works'!I7</f>
        <v>39500</v>
      </c>
      <c r="J17" s="28"/>
      <c r="K17" s="28">
        <f>'2. Civil Works'!C13</f>
        <v>0</v>
      </c>
      <c r="L17" s="28"/>
      <c r="M17" s="28" t="str">
        <f>'2. Civil Works'!H13</f>
        <v/>
      </c>
      <c r="N17" s="28"/>
      <c r="O17" s="28"/>
      <c r="P17" s="28"/>
      <c r="Q17" s="28"/>
      <c r="R17" s="28"/>
      <c r="S17" s="28"/>
      <c r="T17" s="28"/>
    </row>
    <row r="18" spans="1:20" x14ac:dyDescent="0.25">
      <c r="A18" s="28">
        <v>3</v>
      </c>
      <c r="B18" s="56" t="s">
        <v>37</v>
      </c>
      <c r="C18" s="56"/>
      <c r="D18" s="56"/>
      <c r="E18" s="56"/>
      <c r="F18" s="56"/>
      <c r="G18" s="29">
        <f>'3. Waterproofing'!G7</f>
        <v>0</v>
      </c>
      <c r="H18" s="28"/>
      <c r="I18" s="28">
        <f>'3. Waterproofing'!I7</f>
        <v>0</v>
      </c>
      <c r="J18" s="28"/>
      <c r="K18" s="28">
        <f>'3. Waterproofing'!C13</f>
        <v>0</v>
      </c>
      <c r="L18" s="28"/>
      <c r="M18" s="28" t="str">
        <f>'3. Waterproofing'!H13</f>
        <v/>
      </c>
      <c r="N18" s="28"/>
      <c r="O18" s="28"/>
      <c r="P18" s="28"/>
      <c r="Q18" s="28"/>
      <c r="R18" s="28"/>
      <c r="S18" s="28"/>
      <c r="T18" s="28"/>
    </row>
    <row r="19" spans="1:20" x14ac:dyDescent="0.25">
      <c r="A19" s="28">
        <v>4</v>
      </c>
      <c r="B19" s="56" t="s">
        <v>39</v>
      </c>
      <c r="C19" s="56"/>
      <c r="D19" s="56"/>
      <c r="E19" s="56"/>
      <c r="F19" s="56"/>
      <c r="G19" s="29">
        <f>'4. Flooring &amp; Stone'!G7</f>
        <v>0</v>
      </c>
      <c r="H19" s="28"/>
      <c r="I19" s="28">
        <f>'4. Flooring &amp; Stone'!I7</f>
        <v>0</v>
      </c>
      <c r="J19" s="28"/>
      <c r="K19" s="28">
        <f>'4. Flooring &amp; Stone'!C13</f>
        <v>0</v>
      </c>
      <c r="L19" s="28"/>
      <c r="M19" s="28" t="str">
        <f>'4. Flooring &amp; Stone'!H13</f>
        <v/>
      </c>
      <c r="N19" s="28"/>
      <c r="O19" s="28"/>
      <c r="P19" s="28"/>
      <c r="Q19" s="28"/>
      <c r="R19" s="28"/>
      <c r="S19" s="28"/>
      <c r="T19" s="28"/>
    </row>
    <row r="20" spans="1:20" x14ac:dyDescent="0.25">
      <c r="A20" s="28">
        <v>5</v>
      </c>
      <c r="B20" s="56" t="s">
        <v>41</v>
      </c>
      <c r="C20" s="56"/>
      <c r="D20" s="56"/>
      <c r="E20" s="56"/>
      <c r="F20" s="56"/>
      <c r="G20" s="29">
        <f>'5. False Ceiling'!G7</f>
        <v>0</v>
      </c>
      <c r="H20" s="28"/>
      <c r="I20" s="28">
        <f>'5. False Ceiling'!I7</f>
        <v>0</v>
      </c>
      <c r="J20" s="28"/>
      <c r="K20" s="28">
        <f>'5. False Ceiling'!C13</f>
        <v>0</v>
      </c>
      <c r="L20" s="28"/>
      <c r="M20" s="28" t="str">
        <f>'5. False Ceiling'!H13</f>
        <v/>
      </c>
      <c r="N20" s="28"/>
      <c r="O20" s="28"/>
      <c r="P20" s="28"/>
      <c r="Q20" s="28"/>
      <c r="R20" s="28"/>
      <c r="S20" s="28"/>
      <c r="T20" s="28"/>
    </row>
    <row r="21" spans="1:20" x14ac:dyDescent="0.25">
      <c r="A21" s="28">
        <v>6</v>
      </c>
      <c r="B21" s="56" t="s">
        <v>43</v>
      </c>
      <c r="C21" s="56"/>
      <c r="D21" s="56"/>
      <c r="E21" s="56"/>
      <c r="F21" s="56"/>
      <c r="G21" s="29">
        <f>'6. Carpentry'!G7</f>
        <v>0</v>
      </c>
      <c r="H21" s="28"/>
      <c r="I21" s="28">
        <f>'6. Carpentry'!I7</f>
        <v>0</v>
      </c>
      <c r="J21" s="28"/>
      <c r="K21" s="28">
        <f>'6. Carpentry'!C13</f>
        <v>0</v>
      </c>
      <c r="L21" s="28"/>
      <c r="M21" s="28" t="str">
        <f>'6. Carpentry'!H13</f>
        <v/>
      </c>
      <c r="N21" s="28"/>
      <c r="O21" s="28"/>
      <c r="P21" s="28"/>
      <c r="Q21" s="28"/>
      <c r="R21" s="28"/>
      <c r="S21" s="28"/>
      <c r="T21" s="28"/>
    </row>
    <row r="22" spans="1:20" x14ac:dyDescent="0.25">
      <c r="A22" s="28">
        <v>7</v>
      </c>
      <c r="B22" s="56" t="s">
        <v>45</v>
      </c>
      <c r="C22" s="56"/>
      <c r="D22" s="56"/>
      <c r="E22" s="56"/>
      <c r="F22" s="56"/>
      <c r="G22" s="29">
        <f>'7. Glass &amp; Alu'!G7</f>
        <v>0</v>
      </c>
      <c r="H22" s="28"/>
      <c r="I22" s="28">
        <f>'7. Glass &amp; Alu'!I7</f>
        <v>0</v>
      </c>
      <c r="J22" s="28"/>
      <c r="K22" s="28">
        <f>'7. Glass &amp; Alu'!C13</f>
        <v>0</v>
      </c>
      <c r="L22" s="28"/>
      <c r="M22" s="28" t="str">
        <f>'7. Glass &amp; Alu'!H13</f>
        <v/>
      </c>
      <c r="N22" s="28"/>
      <c r="O22" s="28"/>
      <c r="P22" s="28"/>
      <c r="Q22" s="28"/>
      <c r="R22" s="28"/>
      <c r="S22" s="28"/>
      <c r="T22" s="28"/>
    </row>
    <row r="23" spans="1:20" x14ac:dyDescent="0.25">
      <c r="A23" s="28">
        <v>8</v>
      </c>
      <c r="B23" s="56" t="s">
        <v>47</v>
      </c>
      <c r="C23" s="56"/>
      <c r="D23" s="56"/>
      <c r="E23" s="56"/>
      <c r="F23" s="56"/>
      <c r="G23" s="29">
        <f>'8. Electrical'!G7</f>
        <v>0</v>
      </c>
      <c r="H23" s="28"/>
      <c r="I23" s="28">
        <f>'8. Electrical'!I7</f>
        <v>0</v>
      </c>
      <c r="J23" s="28"/>
      <c r="K23" s="28">
        <f>'8. Electrical'!C13</f>
        <v>0</v>
      </c>
      <c r="L23" s="28"/>
      <c r="M23" s="28" t="str">
        <f>'8. Electrical'!H13</f>
        <v/>
      </c>
      <c r="N23" s="28"/>
      <c r="O23" s="28"/>
      <c r="P23" s="28"/>
      <c r="Q23" s="28"/>
      <c r="R23" s="28"/>
      <c r="S23" s="28"/>
      <c r="T23" s="28"/>
    </row>
    <row r="24" spans="1:20" x14ac:dyDescent="0.25">
      <c r="A24" s="28">
        <v>9</v>
      </c>
      <c r="B24" s="56" t="s">
        <v>49</v>
      </c>
      <c r="C24" s="56"/>
      <c r="D24" s="56"/>
      <c r="E24" s="56"/>
      <c r="F24" s="56"/>
      <c r="G24" s="29">
        <f>'9. Plumbing'!G7</f>
        <v>0</v>
      </c>
      <c r="H24" s="28"/>
      <c r="I24" s="28">
        <f>'9. Plumbing'!I7</f>
        <v>0</v>
      </c>
      <c r="J24" s="28"/>
      <c r="K24" s="28">
        <f>'9. Plumbing'!C13</f>
        <v>0</v>
      </c>
      <c r="L24" s="28"/>
      <c r="M24" s="28" t="str">
        <f>'9. Plumbing'!H13</f>
        <v/>
      </c>
      <c r="N24" s="28"/>
      <c r="O24" s="28"/>
      <c r="P24" s="28"/>
      <c r="Q24" s="28"/>
      <c r="R24" s="28"/>
      <c r="S24" s="28"/>
      <c r="T24" s="28"/>
    </row>
    <row r="25" spans="1:20" x14ac:dyDescent="0.25">
      <c r="A25" s="28">
        <v>10</v>
      </c>
      <c r="B25" s="56" t="s">
        <v>51</v>
      </c>
      <c r="C25" s="56"/>
      <c r="D25" s="56"/>
      <c r="E25" s="56"/>
      <c r="F25" s="56"/>
      <c r="G25" s="29">
        <f>'10. HVAC'!G7</f>
        <v>0</v>
      </c>
      <c r="H25" s="28"/>
      <c r="I25" s="28">
        <f>'10. HVAC'!I7</f>
        <v>0</v>
      </c>
      <c r="J25" s="28"/>
      <c r="K25" s="28">
        <f>'10. HVAC'!C13</f>
        <v>0</v>
      </c>
      <c r="L25" s="28"/>
      <c r="M25" s="28" t="str">
        <f>'10. HVAC'!H13</f>
        <v/>
      </c>
      <c r="N25" s="28"/>
      <c r="O25" s="28"/>
      <c r="P25" s="28"/>
      <c r="Q25" s="28"/>
      <c r="R25" s="28"/>
      <c r="S25" s="28"/>
      <c r="T25" s="28"/>
    </row>
    <row r="26" spans="1:20" x14ac:dyDescent="0.25">
      <c r="A26" s="28">
        <v>11</v>
      </c>
      <c r="B26" s="56" t="s">
        <v>53</v>
      </c>
      <c r="C26" s="56"/>
      <c r="D26" s="56"/>
      <c r="E26" s="56"/>
      <c r="F26" s="56"/>
      <c r="G26" s="29">
        <f>'11. Painting'!G7</f>
        <v>0</v>
      </c>
      <c r="H26" s="28"/>
      <c r="I26" s="28">
        <f>'11. Painting'!I7</f>
        <v>0</v>
      </c>
      <c r="J26" s="28"/>
      <c r="K26" s="28">
        <f>'11. Painting'!C13</f>
        <v>0</v>
      </c>
      <c r="L26" s="28"/>
      <c r="M26" s="28" t="str">
        <f>'11. Painting'!H13</f>
        <v/>
      </c>
      <c r="N26" s="28"/>
      <c r="O26" s="28"/>
      <c r="P26" s="28"/>
      <c r="Q26" s="28"/>
      <c r="R26" s="28"/>
      <c r="S26" s="28"/>
      <c r="T26" s="28"/>
    </row>
    <row r="27" spans="1:20" x14ac:dyDescent="0.25">
      <c r="A27" s="28">
        <v>12</v>
      </c>
      <c r="B27" s="56" t="s">
        <v>55</v>
      </c>
      <c r="C27" s="56"/>
      <c r="D27" s="56"/>
      <c r="E27" s="56"/>
      <c r="F27" s="56"/>
      <c r="G27" s="29">
        <f>'12. Loose Furniture'!G7</f>
        <v>0</v>
      </c>
      <c r="H27" s="28"/>
      <c r="I27" s="28">
        <f>'12. Loose Furniture'!I7</f>
        <v>0</v>
      </c>
      <c r="J27" s="28"/>
      <c r="K27" s="28">
        <f>'12. Loose Furniture'!C13</f>
        <v>0</v>
      </c>
      <c r="L27" s="28"/>
      <c r="M27" s="28" t="str">
        <f>'12. Loose Furniture'!H13</f>
        <v/>
      </c>
      <c r="N27" s="28"/>
      <c r="O27" s="28"/>
      <c r="P27" s="28"/>
      <c r="Q27" s="28"/>
      <c r="R27" s="28"/>
      <c r="S27" s="28"/>
      <c r="T27" s="28"/>
    </row>
    <row r="28" spans="1:20" x14ac:dyDescent="0.25">
      <c r="A28" s="28">
        <v>13</v>
      </c>
      <c r="B28" s="56" t="s">
        <v>57</v>
      </c>
      <c r="C28" s="56"/>
      <c r="D28" s="56"/>
      <c r="E28" s="56"/>
      <c r="F28" s="56"/>
      <c r="G28" s="29">
        <f>'13. Site Overheads'!G7</f>
        <v>0</v>
      </c>
      <c r="H28" s="28"/>
      <c r="I28" s="28">
        <f>'13. Site Overheads'!I7</f>
        <v>0</v>
      </c>
      <c r="J28" s="28"/>
      <c r="K28" s="28">
        <f>'13. Site Overheads'!C13</f>
        <v>0</v>
      </c>
      <c r="L28" s="28"/>
      <c r="M28" s="28" t="str">
        <f>'13. Site Overheads'!H13</f>
        <v/>
      </c>
      <c r="N28" s="28"/>
      <c r="O28" s="28"/>
      <c r="P28" s="28"/>
      <c r="Q28" s="28"/>
      <c r="R28" s="28"/>
      <c r="S28" s="28"/>
      <c r="T28" s="28"/>
    </row>
    <row r="29" spans="1:20" ht="15" customHeight="1" x14ac:dyDescent="0.25">
      <c r="A29" s="55" t="s">
        <v>59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</row>
    <row r="30" spans="1:20" ht="15" customHeight="1" x14ac:dyDescent="0.25">
      <c r="A30" s="46" t="s">
        <v>60</v>
      </c>
      <c r="B30" s="46"/>
      <c r="C30" s="46"/>
      <c r="D30" s="46"/>
      <c r="E30" s="46"/>
      <c r="F30" s="46"/>
      <c r="G30" s="46"/>
      <c r="H30" s="46" t="str">
        <f>H6</f>
        <v>Finalised (Qualified Vendors)</v>
      </c>
      <c r="I30" s="46"/>
      <c r="J30" s="46">
        <f>J6</f>
        <v>0</v>
      </c>
      <c r="K30" s="46"/>
      <c r="L30" s="46">
        <f>L6</f>
        <v>0</v>
      </c>
      <c r="M30" s="46"/>
      <c r="N30" s="46">
        <f>N6</f>
        <v>0</v>
      </c>
      <c r="O30" s="46"/>
      <c r="P30" s="46" t="s">
        <v>61</v>
      </c>
      <c r="Q30" s="46"/>
      <c r="R30" s="46"/>
      <c r="S30" s="46"/>
      <c r="T30" s="46"/>
    </row>
    <row r="31" spans="1:20" ht="15" customHeight="1" x14ac:dyDescent="0.25">
      <c r="A31" s="57" t="s">
        <v>62</v>
      </c>
      <c r="B31" s="57"/>
      <c r="C31" s="57"/>
      <c r="D31" s="57"/>
      <c r="E31" s="57"/>
      <c r="F31" s="57"/>
      <c r="G31" s="57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</row>
    <row r="32" spans="1:20" ht="15" customHeight="1" x14ac:dyDescent="0.25">
      <c r="A32" s="57" t="s">
        <v>63</v>
      </c>
      <c r="B32" s="57"/>
      <c r="C32" s="57"/>
      <c r="D32" s="57"/>
      <c r="E32" s="57"/>
      <c r="F32" s="57"/>
      <c r="G32" s="57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</row>
    <row r="33" spans="1:20" ht="15" customHeight="1" x14ac:dyDescent="0.25">
      <c r="A33" s="57" t="s">
        <v>64</v>
      </c>
      <c r="B33" s="57"/>
      <c r="C33" s="57"/>
      <c r="D33" s="57"/>
      <c r="E33" s="57"/>
      <c r="F33" s="57"/>
      <c r="G33" s="57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</row>
    <row r="34" spans="1:20" ht="15" customHeight="1" x14ac:dyDescent="0.25">
      <c r="A34" s="57" t="s">
        <v>65</v>
      </c>
      <c r="B34" s="57"/>
      <c r="C34" s="57"/>
      <c r="D34" s="57"/>
      <c r="E34" s="57"/>
      <c r="F34" s="57"/>
      <c r="G34" s="57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</row>
    <row r="35" spans="1:20" ht="15" customHeight="1" x14ac:dyDescent="0.25">
      <c r="A35" s="57" t="s">
        <v>66</v>
      </c>
      <c r="B35" s="57"/>
      <c r="C35" s="57"/>
      <c r="D35" s="57"/>
      <c r="E35" s="57"/>
      <c r="F35" s="57"/>
      <c r="G35" s="57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</row>
    <row r="36" spans="1:20" ht="15" customHeight="1" x14ac:dyDescent="0.25">
      <c r="A36" s="57" t="s">
        <v>67</v>
      </c>
      <c r="B36" s="57"/>
      <c r="C36" s="57"/>
      <c r="D36" s="57"/>
      <c r="E36" s="57"/>
      <c r="F36" s="57"/>
      <c r="G36" s="57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</row>
    <row r="37" spans="1:20" ht="15" customHeight="1" x14ac:dyDescent="0.25">
      <c r="A37" s="57" t="s">
        <v>68</v>
      </c>
      <c r="B37" s="57"/>
      <c r="C37" s="57"/>
      <c r="D37" s="57"/>
      <c r="E37" s="57"/>
      <c r="F37" s="57"/>
      <c r="G37" s="57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</row>
    <row r="38" spans="1:20" ht="15" customHeight="1" x14ac:dyDescent="0.25">
      <c r="A38" s="57" t="s">
        <v>69</v>
      </c>
      <c r="B38" s="57"/>
      <c r="C38" s="57"/>
      <c r="D38" s="57"/>
      <c r="E38" s="57"/>
      <c r="F38" s="57"/>
      <c r="G38" s="57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</row>
    <row r="39" spans="1:20" ht="15" customHeight="1" x14ac:dyDescent="0.25">
      <c r="A39" s="57" t="s">
        <v>70</v>
      </c>
      <c r="B39" s="57"/>
      <c r="C39" s="57"/>
      <c r="D39" s="57"/>
      <c r="E39" s="57"/>
      <c r="F39" s="57"/>
      <c r="G39" s="57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</row>
    <row r="40" spans="1:20" ht="15" customHeight="1" x14ac:dyDescent="0.25">
      <c r="A40" s="57" t="s">
        <v>71</v>
      </c>
      <c r="B40" s="57"/>
      <c r="C40" s="57"/>
      <c r="D40" s="57"/>
      <c r="E40" s="57"/>
      <c r="F40" s="57"/>
      <c r="G40" s="57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</row>
    <row r="41" spans="1:20" ht="15" customHeight="1" x14ac:dyDescent="0.25">
      <c r="A41" s="57" t="s">
        <v>72</v>
      </c>
      <c r="B41" s="57"/>
      <c r="C41" s="57"/>
      <c r="D41" s="57"/>
      <c r="E41" s="57"/>
      <c r="F41" s="57"/>
      <c r="G41" s="57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</row>
    <row r="42" spans="1:20" ht="15" customHeight="1" x14ac:dyDescent="0.25">
      <c r="A42" s="57" t="s">
        <v>73</v>
      </c>
      <c r="B42" s="57"/>
      <c r="C42" s="57"/>
      <c r="D42" s="57"/>
      <c r="E42" s="57"/>
      <c r="F42" s="57"/>
      <c r="G42" s="57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</row>
    <row r="43" spans="1:20" ht="15" customHeight="1" x14ac:dyDescent="0.25">
      <c r="A43" s="57" t="s">
        <v>74</v>
      </c>
      <c r="B43" s="57"/>
      <c r="C43" s="57"/>
      <c r="D43" s="57"/>
      <c r="E43" s="57"/>
      <c r="F43" s="57"/>
      <c r="G43" s="57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</row>
    <row r="44" spans="1:20" ht="15" customHeight="1" x14ac:dyDescent="0.25">
      <c r="A44" s="57" t="s">
        <v>75</v>
      </c>
      <c r="B44" s="57"/>
      <c r="C44" s="57"/>
      <c r="D44" s="57"/>
      <c r="E44" s="57"/>
      <c r="F44" s="57"/>
      <c r="G44" s="57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</row>
    <row r="45" spans="1:20" ht="15" customHeight="1" x14ac:dyDescent="0.25">
      <c r="A45" s="57" t="s">
        <v>76</v>
      </c>
      <c r="B45" s="57"/>
      <c r="C45" s="57"/>
      <c r="D45" s="57"/>
      <c r="E45" s="57"/>
      <c r="F45" s="57"/>
      <c r="G45" s="57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</row>
    <row r="46" spans="1:20" ht="15" customHeight="1" x14ac:dyDescent="0.25">
      <c r="A46" s="57" t="s">
        <v>77</v>
      </c>
      <c r="B46" s="57"/>
      <c r="C46" s="57"/>
      <c r="D46" s="57"/>
      <c r="E46" s="57"/>
      <c r="F46" s="57"/>
      <c r="G46" s="57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</row>
    <row r="48" spans="1:20" ht="15" customHeight="1" x14ac:dyDescent="0.25">
      <c r="A48" s="55" t="s">
        <v>78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</row>
    <row r="49" spans="1:20" ht="15" customHeight="1" x14ac:dyDescent="0.25">
      <c r="A49" s="57" t="s">
        <v>79</v>
      </c>
      <c r="B49" s="57"/>
      <c r="C49" s="57"/>
      <c r="D49" s="57"/>
      <c r="E49" s="57"/>
      <c r="F49" s="57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</row>
    <row r="50" spans="1:20" ht="15" customHeight="1" x14ac:dyDescent="0.25">
      <c r="A50" s="57" t="s">
        <v>80</v>
      </c>
      <c r="B50" s="57"/>
      <c r="C50" s="57"/>
      <c r="D50" s="57"/>
      <c r="E50" s="57"/>
      <c r="F50" s="57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</row>
    <row r="51" spans="1:20" ht="15" customHeight="1" x14ac:dyDescent="0.25">
      <c r="A51" s="57" t="s">
        <v>81</v>
      </c>
      <c r="B51" s="57"/>
      <c r="C51" s="57"/>
      <c r="D51" s="57"/>
      <c r="E51" s="57"/>
      <c r="F51" s="57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</row>
    <row r="52" spans="1:20" ht="15" customHeight="1" x14ac:dyDescent="0.25">
      <c r="A52" s="60" t="s">
        <v>82</v>
      </c>
      <c r="B52" s="60"/>
      <c r="C52" s="60"/>
      <c r="D52" s="60"/>
      <c r="E52" s="60"/>
      <c r="F52" s="60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</row>
    <row r="53" spans="1:20" ht="15" customHeight="1" x14ac:dyDescent="0.25">
      <c r="A53" s="57" t="s">
        <v>83</v>
      </c>
      <c r="B53" s="57"/>
      <c r="C53" s="57"/>
      <c r="D53" s="57"/>
      <c r="E53" s="57"/>
      <c r="F53" s="57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</row>
    <row r="54" spans="1:20" ht="15" customHeight="1" x14ac:dyDescent="0.25">
      <c r="A54" s="57" t="s">
        <v>84</v>
      </c>
      <c r="B54" s="57"/>
      <c r="C54" s="57"/>
      <c r="D54" s="57"/>
      <c r="E54" s="57"/>
      <c r="F54" s="57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</row>
    <row r="55" spans="1:20" ht="15" customHeight="1" x14ac:dyDescent="0.25">
      <c r="A55" s="57" t="s">
        <v>85</v>
      </c>
      <c r="B55" s="57"/>
      <c r="C55" s="57"/>
      <c r="D55" s="57"/>
      <c r="E55" s="57"/>
      <c r="F55" s="57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</row>
    <row r="57" spans="1:20" ht="15" customHeight="1" x14ac:dyDescent="0.25">
      <c r="A57" s="62" t="s">
        <v>86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</row>
    <row r="58" spans="1:20" ht="15" customHeight="1" x14ac:dyDescent="0.25">
      <c r="A58" s="61" t="s">
        <v>87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</row>
    <row r="59" spans="1:20" ht="15" customHeight="1" x14ac:dyDescent="0.25">
      <c r="A59" s="61" t="s">
        <v>88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</row>
    <row r="60" spans="1:20" ht="15" customHeight="1" x14ac:dyDescent="0.25">
      <c r="A60" s="61" t="s">
        <v>89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</row>
    <row r="61" spans="1:20" ht="15" customHeight="1" x14ac:dyDescent="0.25">
      <c r="A61" s="61" t="s">
        <v>90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</row>
    <row r="62" spans="1:20" ht="15" customHeight="1" x14ac:dyDescent="0.25">
      <c r="A62" s="61" t="s">
        <v>91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</row>
    <row r="63" spans="1:20" ht="15" customHeight="1" x14ac:dyDescent="0.25">
      <c r="A63" s="61" t="s">
        <v>92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</row>
    <row r="64" spans="1:20" ht="15" customHeight="1" x14ac:dyDescent="0.25">
      <c r="A64" s="61" t="s">
        <v>93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</row>
    <row r="65" spans="1:20" ht="15" customHeight="1" x14ac:dyDescent="0.25">
      <c r="A65" s="61" t="s">
        <v>94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</row>
    <row r="66" spans="1:20" ht="15" customHeight="1" x14ac:dyDescent="0.25">
      <c r="A66" s="61" t="s">
        <v>95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</row>
  </sheetData>
  <mergeCells count="161">
    <mergeCell ref="B28:F28"/>
    <mergeCell ref="A14:T14"/>
    <mergeCell ref="B15:F15"/>
    <mergeCell ref="B16:F16"/>
    <mergeCell ref="B17:F17"/>
    <mergeCell ref="B18:F18"/>
    <mergeCell ref="B19:F19"/>
    <mergeCell ref="B20:F20"/>
    <mergeCell ref="B21:F21"/>
    <mergeCell ref="B22:F22"/>
    <mergeCell ref="A64:T64"/>
    <mergeCell ref="A65:T65"/>
    <mergeCell ref="A66:T66"/>
    <mergeCell ref="A55:F55"/>
    <mergeCell ref="G55:T55"/>
    <mergeCell ref="A57:T57"/>
    <mergeCell ref="A58:T58"/>
    <mergeCell ref="A59:T59"/>
    <mergeCell ref="A60:T60"/>
    <mergeCell ref="A61:T61"/>
    <mergeCell ref="A62:T62"/>
    <mergeCell ref="A63:T63"/>
    <mergeCell ref="A50:F50"/>
    <mergeCell ref="G50:T50"/>
    <mergeCell ref="A51:F51"/>
    <mergeCell ref="G51:T51"/>
    <mergeCell ref="A52:F52"/>
    <mergeCell ref="G52:T52"/>
    <mergeCell ref="A53:F53"/>
    <mergeCell ref="G53:T53"/>
    <mergeCell ref="A54:F54"/>
    <mergeCell ref="G54:T54"/>
    <mergeCell ref="A46:G46"/>
    <mergeCell ref="H46:I46"/>
    <mergeCell ref="J46:K46"/>
    <mergeCell ref="L46:M46"/>
    <mergeCell ref="N46:O46"/>
    <mergeCell ref="P46:T46"/>
    <mergeCell ref="A48:T48"/>
    <mergeCell ref="A49:F49"/>
    <mergeCell ref="G49:T49"/>
    <mergeCell ref="A44:G44"/>
    <mergeCell ref="H44:I44"/>
    <mergeCell ref="J44:K44"/>
    <mergeCell ref="L44:M44"/>
    <mergeCell ref="N44:O44"/>
    <mergeCell ref="P44:T44"/>
    <mergeCell ref="A45:G45"/>
    <mergeCell ref="H45:I45"/>
    <mergeCell ref="J45:K45"/>
    <mergeCell ref="L45:M45"/>
    <mergeCell ref="N45:O45"/>
    <mergeCell ref="P45:T45"/>
    <mergeCell ref="A42:G42"/>
    <mergeCell ref="H42:I42"/>
    <mergeCell ref="J42:K42"/>
    <mergeCell ref="L42:M42"/>
    <mergeCell ref="N42:O42"/>
    <mergeCell ref="P42:T42"/>
    <mergeCell ref="A43:G43"/>
    <mergeCell ref="H43:I43"/>
    <mergeCell ref="J43:K43"/>
    <mergeCell ref="L43:M43"/>
    <mergeCell ref="N43:O43"/>
    <mergeCell ref="P43:T43"/>
    <mergeCell ref="A40:G40"/>
    <mergeCell ref="H40:I40"/>
    <mergeCell ref="J40:K40"/>
    <mergeCell ref="L40:M40"/>
    <mergeCell ref="N40:O40"/>
    <mergeCell ref="P40:T40"/>
    <mergeCell ref="A41:G41"/>
    <mergeCell ref="H41:I41"/>
    <mergeCell ref="J41:K41"/>
    <mergeCell ref="L41:M41"/>
    <mergeCell ref="N41:O41"/>
    <mergeCell ref="P41:T41"/>
    <mergeCell ref="A38:G38"/>
    <mergeCell ref="H38:I38"/>
    <mergeCell ref="J38:K38"/>
    <mergeCell ref="L38:M38"/>
    <mergeCell ref="N38:O38"/>
    <mergeCell ref="P38:T38"/>
    <mergeCell ref="A39:G39"/>
    <mergeCell ref="H39:I39"/>
    <mergeCell ref="J39:K39"/>
    <mergeCell ref="L39:M39"/>
    <mergeCell ref="N39:O39"/>
    <mergeCell ref="P39:T39"/>
    <mergeCell ref="A36:G36"/>
    <mergeCell ref="H36:I36"/>
    <mergeCell ref="J36:K36"/>
    <mergeCell ref="L36:M36"/>
    <mergeCell ref="N36:O36"/>
    <mergeCell ref="P36:T36"/>
    <mergeCell ref="A37:G37"/>
    <mergeCell ref="H37:I37"/>
    <mergeCell ref="J37:K37"/>
    <mergeCell ref="L37:M37"/>
    <mergeCell ref="N37:O37"/>
    <mergeCell ref="P37:T37"/>
    <mergeCell ref="A34:G34"/>
    <mergeCell ref="H34:I34"/>
    <mergeCell ref="J34:K34"/>
    <mergeCell ref="L34:M34"/>
    <mergeCell ref="N34:O34"/>
    <mergeCell ref="P34:T34"/>
    <mergeCell ref="A35:G35"/>
    <mergeCell ref="H35:I35"/>
    <mergeCell ref="J35:K35"/>
    <mergeCell ref="L35:M35"/>
    <mergeCell ref="N35:O35"/>
    <mergeCell ref="P35:T35"/>
    <mergeCell ref="A32:G32"/>
    <mergeCell ref="H32:I32"/>
    <mergeCell ref="J32:K32"/>
    <mergeCell ref="L32:M32"/>
    <mergeCell ref="N32:O32"/>
    <mergeCell ref="P32:T32"/>
    <mergeCell ref="A33:G33"/>
    <mergeCell ref="H33:I33"/>
    <mergeCell ref="J33:K33"/>
    <mergeCell ref="L33:M33"/>
    <mergeCell ref="N33:O33"/>
    <mergeCell ref="P33:T33"/>
    <mergeCell ref="A30:G30"/>
    <mergeCell ref="H30:I30"/>
    <mergeCell ref="J30:K30"/>
    <mergeCell ref="L30:M30"/>
    <mergeCell ref="N30:O30"/>
    <mergeCell ref="P30:T30"/>
    <mergeCell ref="A31:G31"/>
    <mergeCell ref="H31:I31"/>
    <mergeCell ref="J31:K31"/>
    <mergeCell ref="L31:M31"/>
    <mergeCell ref="N31:O31"/>
    <mergeCell ref="P31:T31"/>
    <mergeCell ref="A1:T1"/>
    <mergeCell ref="F2:H2"/>
    <mergeCell ref="J2:K2"/>
    <mergeCell ref="F3:H3"/>
    <mergeCell ref="J3:K3"/>
    <mergeCell ref="A5:T5"/>
    <mergeCell ref="B2:D3"/>
    <mergeCell ref="A29:T29"/>
    <mergeCell ref="A10:F10"/>
    <mergeCell ref="A11:F11"/>
    <mergeCell ref="A12:F12"/>
    <mergeCell ref="A6:F6"/>
    <mergeCell ref="H6:I6"/>
    <mergeCell ref="J6:K6"/>
    <mergeCell ref="L6:M6"/>
    <mergeCell ref="N6:O6"/>
    <mergeCell ref="A7:F7"/>
    <mergeCell ref="A8:F8"/>
    <mergeCell ref="A9:F9"/>
    <mergeCell ref="B23:F23"/>
    <mergeCell ref="B24:F24"/>
    <mergeCell ref="B25:F25"/>
    <mergeCell ref="B26:F26"/>
    <mergeCell ref="B27:F27"/>
  </mergeCells>
  <hyperlinks>
    <hyperlink ref="B16" location="'1. Site Preparation'!A1" display="1.  Site Preparation, Demolition &amp; Debris Removal" xr:uid="{1DDCC9E8-E47E-494C-A83A-D92AB307D891}"/>
    <hyperlink ref="B17" location="'2. Civil Works'!A1" display="2.  Civil Works, Masonry &amp; Plaster" xr:uid="{A16660CB-99AE-F340-BDD0-32170C2E2796}"/>
    <hyperlink ref="B18" location="'3. Waterproofing'!A1" display="3.  Waterproofing" xr:uid="{CE169F3E-3669-0141-A233-7795D0468702}"/>
    <hyperlink ref="B19" location="'4. Flooring &amp; Stone'!A1" display="4.  Flooring &amp; Stone" xr:uid="{4A1CFA31-24A7-5843-AB94-84C69D4B201F}"/>
    <hyperlink ref="B20" location="'5. False Ceiling'!A1" display="5.  False Ceiling &amp; Drywall Partitions" xr:uid="{4D2919EC-1451-B140-8152-62AFB5459419}"/>
    <hyperlink ref="B21" location="'6. Carpentry'!A1" display="6.  Carpentry &amp; Joinery" xr:uid="{7CC9CFCE-58AC-074A-99E3-E1777B177606}"/>
    <hyperlink ref="B22" location="'7. Glass &amp; Alu'!A1" display="7.  Glass, Aluminium &amp; Hardware" xr:uid="{A11E79BD-7964-B74F-BE1F-C85325913CBB}"/>
    <hyperlink ref="B23" location="'8. Electrical'!A1" display="8.  Electrical &amp; Low-Voltage" xr:uid="{AECF9AE8-2AB0-3B45-8D80-D8F8051FCB05}"/>
    <hyperlink ref="B24" location="'9. Plumbing'!A1" display="9.  Plumbing &amp; Sanitary" xr:uid="{B1D3EE1A-9916-F048-8A35-38977D024557}"/>
    <hyperlink ref="B25" location="'10. HVAC'!A1" display="10. HVAC" xr:uid="{F6A7C131-EE00-6C42-81CE-5CAFFA3C2CEC}"/>
    <hyperlink ref="B26" location="'11. Painting'!A1" display="11. Painting &amp; Wall Finishes" xr:uid="{7DE4D98F-4C05-C245-B8F6-E42A8F559735}"/>
    <hyperlink ref="B27" location="'12. Loose Furniture'!A1" display="12. Loose Furniture &amp; Furnishings" xr:uid="{58240509-D7D9-394A-9D26-B322D66E5F2E}"/>
    <hyperlink ref="B28" location="'13. Site Overheads'!A1" display="13. Site Overheads, Supervision &amp; Miscellaneous" xr:uid="{1820B523-FB09-C547-B2E7-5A824DB530B4}"/>
  </hyperlink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BAD6-41B0-5548-8717-EF100E988E9B}">
  <sheetPr>
    <tabColor rgb="FF173B2E"/>
  </sheetPr>
  <dimension ref="A1:W22"/>
  <sheetViews>
    <sheetView zoomScale="120" zoomScaleNormal="120" workbookViewId="0">
      <selection activeCell="H31" sqref="H31"/>
    </sheetView>
  </sheetViews>
  <sheetFormatPr defaultColWidth="11.42578125" defaultRowHeight="15" x14ac:dyDescent="0.25"/>
  <cols>
    <col min="22" max="22" width="30.28515625" customWidth="1"/>
  </cols>
  <sheetData>
    <row r="1" spans="1:23" ht="18.75" thickBot="1" x14ac:dyDescent="0.3">
      <c r="A1" s="37" t="s">
        <v>96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3" t="e">
        <f>#REF!</f>
        <v>#REF!</v>
      </c>
    </row>
    <row r="2" spans="1:23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W2" s="33" t="str">
        <f>J6</f>
        <v>Vendor 1 — name</v>
      </c>
    </row>
    <row r="3" spans="1:23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W3" s="33" t="str">
        <f>L6</f>
        <v>Vendor 2 — name</v>
      </c>
    </row>
    <row r="5" spans="1:23" x14ac:dyDescent="0.25">
      <c r="A5" s="45" t="s">
        <v>97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3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3" x14ac:dyDescent="0.25">
      <c r="A7" s="44" t="s">
        <v>146</v>
      </c>
      <c r="B7" s="44"/>
      <c r="C7" s="44"/>
      <c r="D7" s="44"/>
      <c r="E7" s="44"/>
      <c r="F7" s="44"/>
      <c r="G7" s="4">
        <f>G22</f>
        <v>0</v>
      </c>
      <c r="H7" s="30"/>
      <c r="I7" s="30">
        <f>I22</f>
        <v>0</v>
      </c>
      <c r="K7" s="4">
        <f>K22</f>
        <v>0</v>
      </c>
      <c r="M7" s="4">
        <f>M22</f>
        <v>0</v>
      </c>
      <c r="O7" s="4">
        <f>O22</f>
        <v>0</v>
      </c>
      <c r="Q7" s="4">
        <f>Q22</f>
        <v>0</v>
      </c>
    </row>
    <row r="8" spans="1:23" x14ac:dyDescent="0.25">
      <c r="A8" s="54" t="s">
        <v>147</v>
      </c>
      <c r="B8" s="54"/>
      <c r="C8" s="54"/>
      <c r="D8" s="54"/>
      <c r="E8" s="54"/>
      <c r="F8" s="54"/>
      <c r="G8" s="14">
        <f>G7</f>
        <v>0</v>
      </c>
      <c r="H8" s="31"/>
      <c r="I8" s="31">
        <f>I7</f>
        <v>0</v>
      </c>
      <c r="K8" s="14">
        <f>K7</f>
        <v>0</v>
      </c>
      <c r="M8" s="14">
        <f>M7</f>
        <v>0</v>
      </c>
      <c r="O8" s="14">
        <f>O7</f>
        <v>0</v>
      </c>
      <c r="Q8" s="14">
        <f>Q7</f>
        <v>0</v>
      </c>
    </row>
    <row r="9" spans="1:23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32" t="str">
        <f>IF(I8=0,"",I8-$G$8)</f>
        <v/>
      </c>
      <c r="K9" s="4" t="str">
        <f>IF(K8=0,"",K8-$G$8)</f>
        <v/>
      </c>
      <c r="M9" s="4" t="str">
        <f>IF(M8=0,"",M8-$G$8)</f>
        <v/>
      </c>
      <c r="O9" s="4" t="str">
        <f>IF(O8=0,"",O8-$G$8)</f>
        <v/>
      </c>
      <c r="Q9" s="4" t="str">
        <f>IF(Q8=0,"",Q8-$G$8)</f>
        <v/>
      </c>
    </row>
    <row r="10" spans="1:23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32" t="str">
        <f>IF(OR(I8=0,$G$8=0),"",I8/$G$8-1)</f>
        <v/>
      </c>
      <c r="K10" s="6" t="str">
        <f>IF(OR(K8=0,$G$8=0),"",K8/$G$8-1)</f>
        <v/>
      </c>
      <c r="M10" s="6" t="str">
        <f>IF(OR(M8=0,$G$8=0),"",M8/$G$8-1)</f>
        <v/>
      </c>
      <c r="O10" s="6" t="str">
        <f>IF(OR(O8=0,$G$8=0),"",O8/$G$8-1)</f>
        <v/>
      </c>
      <c r="Q10" s="6" t="str">
        <f>IF(OR(Q8=0,$G$8=0),"",Q8/$G$8-1)</f>
        <v/>
      </c>
    </row>
    <row r="11" spans="1:23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32" t="s">
        <v>13</v>
      </c>
      <c r="K11" s="5" t="str">
        <f>IF(K8=0,"",1+IF(AND(M8&gt;0,M8&lt;K8),1,0)+IF(AND(O8&gt;0,O8&lt;K8),1,0)+IF(AND(Q8&gt;0,Q8&lt;K8),1,0))</f>
        <v/>
      </c>
      <c r="M11" s="5" t="str">
        <f>IF(M8=0,"",1+IF(AND(K8&gt;0,K8&lt;M8),1,0)+IF(AND(O8&gt;0,O8&lt;M8),1,0)+IF(AND(Q8&gt;0,Q8&lt;M8),1,0))</f>
        <v/>
      </c>
      <c r="O11" s="5" t="str">
        <f>IF(O8=0,"",1+IF(AND(K8&gt;0,K8&lt;O8),1,0)+IF(AND(M8&gt;0,M8&lt;O8),1,0)+IF(AND(Q8&gt;0,Q8&lt;O8),1,0))</f>
        <v/>
      </c>
      <c r="Q11" s="5" t="str">
        <f>IF(Q8=0,"",1+IF(AND(K8&gt;0,K8&lt;Q8),1,0)+IF(AND(M8&gt;0,M8&lt;Q8),1,0)+IF(AND(O8&gt;0,O8&lt;Q8),1,0))</f>
        <v/>
      </c>
    </row>
    <row r="12" spans="1:23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32" t="str">
        <f>IF(I8=0,"",COUNT($E$17:$E$21)-COUNT(H17:H21))</f>
        <v/>
      </c>
      <c r="K12" s="5" t="str">
        <f>IF(K8=0,"",COUNT($E$17:$E$21)-COUNT(J17:J21))</f>
        <v/>
      </c>
      <c r="M12" s="5" t="str">
        <f>IF(M8=0,"",COUNT($E$17:$E$21)-COUNT(L17:L21))</f>
        <v/>
      </c>
      <c r="O12" s="5" t="str">
        <f>IF(O8=0,"",COUNT($E$17:$E$21)-COUNT(N17:N21))</f>
        <v/>
      </c>
      <c r="Q12" s="5" t="str">
        <f>IF(Q8=0,"",COUNT($E$17:$E$21)-COUNT(P17:P21))</f>
        <v/>
      </c>
    </row>
    <row r="13" spans="1:23" x14ac:dyDescent="0.25">
      <c r="A13" s="34" t="s">
        <v>140</v>
      </c>
      <c r="C13" s="53"/>
      <c r="D13" s="53"/>
      <c r="F13" s="35" t="s">
        <v>150</v>
      </c>
      <c r="H13" s="36" t="str">
        <f>IF($C13="","",IF($C13=#REF!,#REF!,IF($C13=J6,K7,IF($C13=L6,M7,IF($C13=N6,O7,"")))))</f>
        <v/>
      </c>
    </row>
    <row r="14" spans="1:23" ht="41.1" customHeight="1" x14ac:dyDescent="0.25">
      <c r="A14" s="48" t="s">
        <v>98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66"/>
      <c r="R14" s="48" t="s">
        <v>17</v>
      </c>
      <c r="S14" s="48"/>
      <c r="T14" s="48"/>
      <c r="U14" s="48"/>
      <c r="V14" s="13" t="s">
        <v>18</v>
      </c>
    </row>
    <row r="15" spans="1:23" ht="25.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3" x14ac:dyDescent="0.25">
      <c r="A16" s="65" t="s">
        <v>33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</row>
    <row r="17" spans="1:22" x14ac:dyDescent="0.25">
      <c r="A17" s="5">
        <v>1</v>
      </c>
      <c r="B17" s="7"/>
      <c r="C17" s="7"/>
      <c r="D17" s="8"/>
      <c r="E17" s="8"/>
      <c r="F17" s="9"/>
      <c r="G17" s="4" t="str">
        <f>IF(OR($E17="",$F17=""),"",$E17*$F17)</f>
        <v/>
      </c>
      <c r="H17" s="9"/>
      <c r="I17" s="4" t="str">
        <f>IF(OR($E17="",H17=""),"",$E17*H17)</f>
        <v/>
      </c>
      <c r="J17" s="9"/>
      <c r="K17" s="4" t="str">
        <f>IF(OR($E17="",J17=""),"",$E17*J17)</f>
        <v/>
      </c>
      <c r="L17" s="9"/>
      <c r="M17" s="4" t="str">
        <f>IF(OR($E17="",L17=""),"",$E17*L17)</f>
        <v/>
      </c>
      <c r="N17" s="9"/>
      <c r="O17" s="4" t="str">
        <f>IF(OR($E17="",N17=""),"",$E17*N17)</f>
        <v/>
      </c>
      <c r="P17" s="9"/>
      <c r="Q17" s="4" t="str">
        <f>IF(OR($E17="",P17=""),"",$E17*P17)</f>
        <v/>
      </c>
      <c r="R17" s="10" t="str">
        <f>IF(MIN(IF(J17=0,9.9E+30,J17),IF(L17=0,9.9E+30,L17),IF(N17=0,9.9E+30,N17),IF(P17=0,9.9E+30,P17))&gt;9E+30,"",MIN(IF(J17=0,9.9E+30,J17),IF(L17=0,9.9E+30,L17),IF(N17=0,9.9E+30,N17),IF(P17=0,9.9E+30,P17)))</f>
        <v/>
      </c>
      <c r="S17" s="5" t="str">
        <f>IF($R17="","",IF(J17=$R17,$J$6,IF(L17=$R17,$L$6,IF(N17=$R17,$N$6,IF(P17=$R17,$P$6,"")))))</f>
        <v/>
      </c>
      <c r="T17" s="4" t="str">
        <f>IF(OR($R17="",$E17=""),"",$E17*$R17)</f>
        <v/>
      </c>
      <c r="U17" s="6" t="str">
        <f>IF(OR($F17="",$F17=0,$R17=""),"",$R17/$F17-1)</f>
        <v/>
      </c>
      <c r="V17" s="7"/>
    </row>
    <row r="18" spans="1:22" x14ac:dyDescent="0.25">
      <c r="A18" s="5">
        <v>2</v>
      </c>
      <c r="B18" s="7"/>
      <c r="C18" s="7"/>
      <c r="D18" s="8"/>
      <c r="E18" s="8"/>
      <c r="F18" s="9"/>
      <c r="G18" s="4" t="str">
        <f>IF(OR($E18="",$F18=""),"",$E18*$F18)</f>
        <v/>
      </c>
      <c r="H18" s="9"/>
      <c r="I18" s="4" t="str">
        <f>IF(OR($E18="",H18=""),"",$E18*H18)</f>
        <v/>
      </c>
      <c r="J18" s="9"/>
      <c r="K18" s="4" t="str">
        <f>IF(OR($E18="",J18=""),"",$E18*J18)</f>
        <v/>
      </c>
      <c r="L18" s="9"/>
      <c r="M18" s="4" t="str">
        <f>IF(OR($E18="",L18=""),"",$E18*L18)</f>
        <v/>
      </c>
      <c r="N18" s="9"/>
      <c r="O18" s="4" t="str">
        <f>IF(OR($E18="",N18=""),"",$E18*N18)</f>
        <v/>
      </c>
      <c r="P18" s="9"/>
      <c r="Q18" s="4" t="str">
        <f>IF(OR($E18="",P18=""),"",$E18*P18)</f>
        <v/>
      </c>
      <c r="R18" s="10" t="str">
        <f>IF(MIN(IF(J18=0,9.9E+30,J18),IF(L18=0,9.9E+30,L18),IF(N18=0,9.9E+30,N18),IF(P18=0,9.9E+30,P18))&gt;9E+30,"",MIN(IF(J18=0,9.9E+30,J18),IF(L18=0,9.9E+30,L18),IF(N18=0,9.9E+30,N18),IF(P18=0,9.9E+30,P18)))</f>
        <v/>
      </c>
      <c r="S18" s="5" t="str">
        <f>IF($R18="","",IF(J18=$R18,$J$6,IF(L18=$R18,$L$6,IF(N18=$R18,$N$6,IF(P18=$R18,$P$6,"")))))</f>
        <v/>
      </c>
      <c r="T18" s="4" t="str">
        <f>IF(OR($R18="",$E18=""),"",$E18*$R18)</f>
        <v/>
      </c>
      <c r="U18" s="6" t="str">
        <f>IF(OR($F18="",$F18=0,$R18=""),"",$R18/$F18-1)</f>
        <v/>
      </c>
      <c r="V18" s="7"/>
    </row>
    <row r="19" spans="1:22" x14ac:dyDescent="0.25">
      <c r="A19" s="5">
        <v>3</v>
      </c>
      <c r="B19" s="7"/>
      <c r="C19" s="7"/>
      <c r="D19" s="8"/>
      <c r="E19" s="8"/>
      <c r="F19" s="9"/>
      <c r="G19" s="4" t="str">
        <f>IF(OR($E19="",$F19=""),"",$E19*$F19)</f>
        <v/>
      </c>
      <c r="H19" s="9"/>
      <c r="I19" s="4" t="str">
        <f>IF(OR($E19="",H19=""),"",$E19*H19)</f>
        <v/>
      </c>
      <c r="J19" s="9"/>
      <c r="K19" s="4" t="str">
        <f>IF(OR($E19="",J19=""),"",$E19*J19)</f>
        <v/>
      </c>
      <c r="L19" s="9"/>
      <c r="M19" s="4" t="str">
        <f>IF(OR($E19="",L19=""),"",$E19*L19)</f>
        <v/>
      </c>
      <c r="N19" s="9"/>
      <c r="O19" s="4" t="str">
        <f>IF(OR($E19="",N19=""),"",$E19*N19)</f>
        <v/>
      </c>
      <c r="P19" s="9"/>
      <c r="Q19" s="4" t="str">
        <f>IF(OR($E19="",P19=""),"",$E19*P19)</f>
        <v/>
      </c>
      <c r="R19" s="10" t="str">
        <f>IF(MIN(IF(J19=0,9.9E+30,J19),IF(L19=0,9.9E+30,L19),IF(N19=0,9.9E+30,N19),IF(P19=0,9.9E+30,P19))&gt;9E+30,"",MIN(IF(J19=0,9.9E+30,J19),IF(L19=0,9.9E+30,L19),IF(N19=0,9.9E+30,N19),IF(P19=0,9.9E+30,P19)))</f>
        <v/>
      </c>
      <c r="S19" s="5" t="str">
        <f>IF($R19="","",IF(J19=$R19,$J$6,IF(L19=$R19,$L$6,IF(N19=$R19,$N$6,IF(P19=$R19,$P$6,"")))))</f>
        <v/>
      </c>
      <c r="T19" s="4" t="str">
        <f>IF(OR($R19="",$E19=""),"",$E19*$R19)</f>
        <v/>
      </c>
      <c r="U19" s="6" t="str">
        <f>IF(OR($F19="",$F19=0,$R19=""),"",$R19/$F19-1)</f>
        <v/>
      </c>
      <c r="V19" s="7"/>
    </row>
    <row r="20" spans="1:22" x14ac:dyDescent="0.25">
      <c r="A20" s="5">
        <v>4</v>
      </c>
      <c r="B20" s="7"/>
      <c r="C20" s="7"/>
      <c r="D20" s="8"/>
      <c r="E20" s="8"/>
      <c r="F20" s="9"/>
      <c r="G20" s="4" t="str">
        <f>IF(OR($E20="",$F20=""),"",$E20*$F20)</f>
        <v/>
      </c>
      <c r="H20" s="9"/>
      <c r="I20" s="4" t="str">
        <f>IF(OR($E20="",H20=""),"",$E20*H20)</f>
        <v/>
      </c>
      <c r="J20" s="9"/>
      <c r="K20" s="4" t="str">
        <f>IF(OR($E20="",J20=""),"",$E20*J20)</f>
        <v/>
      </c>
      <c r="L20" s="9"/>
      <c r="M20" s="4" t="str">
        <f>IF(OR($E20="",L20=""),"",$E20*L20)</f>
        <v/>
      </c>
      <c r="N20" s="9"/>
      <c r="O20" s="4" t="str">
        <f>IF(OR($E20="",N20=""),"",$E20*N20)</f>
        <v/>
      </c>
      <c r="P20" s="9"/>
      <c r="Q20" s="4" t="str">
        <f>IF(OR($E20="",P20=""),"",$E20*P20)</f>
        <v/>
      </c>
      <c r="R20" s="10" t="str">
        <f>IF(MIN(IF(J20=0,9.9E+30,J20),IF(L20=0,9.9E+30,L20),IF(N20=0,9.9E+30,N20),IF(P20=0,9.9E+30,P20))&gt;9E+30,"",MIN(IF(J20=0,9.9E+30,J20),IF(L20=0,9.9E+30,L20),IF(N20=0,9.9E+30,N20),IF(P20=0,9.9E+30,P20)))</f>
        <v/>
      </c>
      <c r="S20" s="5" t="str">
        <f>IF($R20="","",IF(J20=$R20,$J$6,IF(L20=$R20,$L$6,IF(N20=$R20,$N$6,IF(P20=$R20,$P$6,"")))))</f>
        <v/>
      </c>
      <c r="T20" s="4" t="str">
        <f>IF(OR($R20="",$E20=""),"",$E20*$R20)</f>
        <v/>
      </c>
      <c r="U20" s="6" t="str">
        <f>IF(OR($F20="",$F20=0,$R20=""),"",$R20/$F20-1)</f>
        <v/>
      </c>
      <c r="V20" s="7"/>
    </row>
    <row r="21" spans="1:22" ht="15.75" thickBot="1" x14ac:dyDescent="0.3">
      <c r="A21" s="15">
        <v>5</v>
      </c>
      <c r="B21" s="16"/>
      <c r="C21" s="16"/>
      <c r="D21" s="17"/>
      <c r="E21" s="17"/>
      <c r="F21" s="18"/>
      <c r="G21" s="19" t="str">
        <f>IF(OR($E21="",$F21=""),"",$E21*$F21)</f>
        <v/>
      </c>
      <c r="H21" s="18"/>
      <c r="I21" s="19" t="str">
        <f>IF(OR($E21="",H21=""),"",$E21*H21)</f>
        <v/>
      </c>
      <c r="J21" s="18"/>
      <c r="K21" s="19" t="str">
        <f>IF(OR($E21="",J21=""),"",$E21*J21)</f>
        <v/>
      </c>
      <c r="L21" s="18"/>
      <c r="M21" s="19" t="str">
        <f>IF(OR($E21="",L21=""),"",$E21*L21)</f>
        <v/>
      </c>
      <c r="N21" s="18"/>
      <c r="O21" s="19" t="str">
        <f>IF(OR($E21="",N21=""),"",$E21*N21)</f>
        <v/>
      </c>
      <c r="P21" s="18"/>
      <c r="Q21" s="19" t="str">
        <f>IF(OR($E21="",P21=""),"",$E21*P21)</f>
        <v/>
      </c>
      <c r="R21" s="20" t="str">
        <f>IF(MIN(IF(J21=0,9.9E+30,J21),IF(L21=0,9.9E+30,L21),IF(N21=0,9.9E+30,N21),IF(P21=0,9.9E+30,P21))&gt;9E+30,"",MIN(IF(J21=0,9.9E+30,J21),IF(L21=0,9.9E+30,L21),IF(N21=0,9.9E+30,N21),IF(P21=0,9.9E+30,P21)))</f>
        <v/>
      </c>
      <c r="S21" s="15" t="str">
        <f>IF($R21="","",IF(J21=$R21,$J$6,IF(L21=$R21,$L$6,IF(N21=$R21,$N$6,IF(P21=$R21,$P$6,"")))))</f>
        <v/>
      </c>
      <c r="T21" s="19" t="str">
        <f>IF(OR($R21="",$E21=""),"",$E21*$R21)</f>
        <v/>
      </c>
      <c r="U21" s="21" t="str">
        <f>IF(OR($F21="",$F21=0,$R21=""),"",$R21/$F21-1)</f>
        <v/>
      </c>
      <c r="V21" s="16"/>
    </row>
    <row r="22" spans="1:22" x14ac:dyDescent="0.25">
      <c r="A22" s="50" t="s">
        <v>34</v>
      </c>
      <c r="B22" s="50"/>
      <c r="C22" s="50"/>
      <c r="D22" s="50"/>
      <c r="E22" s="50"/>
      <c r="F22" s="50"/>
      <c r="G22" s="23">
        <f>SUM(G17:G21)</f>
        <v>0</v>
      </c>
      <c r="H22" s="22"/>
      <c r="I22" s="23">
        <f>SUM(I17:I21)</f>
        <v>0</v>
      </c>
      <c r="J22" s="24"/>
      <c r="K22" s="23">
        <f>SUM(K17:K21)</f>
        <v>0</v>
      </c>
      <c r="L22" s="24"/>
      <c r="M22" s="23">
        <f>SUM(M17:M21)</f>
        <v>0</v>
      </c>
      <c r="N22" s="24"/>
      <c r="O22" s="23">
        <f>SUM(O17:O21)</f>
        <v>0</v>
      </c>
      <c r="P22" s="24"/>
      <c r="Q22" s="23">
        <f>SUM(Q17:Q21)</f>
        <v>0</v>
      </c>
      <c r="R22" s="24"/>
      <c r="S22" s="24"/>
      <c r="T22" s="23">
        <f>SUM(T17:T21)</f>
        <v>0</v>
      </c>
      <c r="U22" s="24"/>
      <c r="V22" s="24"/>
    </row>
  </sheetData>
  <mergeCells count="28">
    <mergeCell ref="R14:U14"/>
    <mergeCell ref="A16:V16"/>
    <mergeCell ref="A22:F22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7:J22 L17:L22 N17:N22 P17:P22">
    <cfRule type="expression" dxfId="97" priority="9">
      <formula>AND(J17&lt;&gt;"",J17=$R17)</formula>
    </cfRule>
    <cfRule type="expression" dxfId="96" priority="10">
      <formula>AND($E17&lt;&gt;"",J17="")</formula>
    </cfRule>
  </conditionalFormatting>
  <dataValidations count="2">
    <dataValidation type="list" allowBlank="1" sqref="D17:D22" xr:uid="{3915CEFD-F7BE-6C4A-9789-9200085770A1}">
      <formula1>"Nos,Sqft,Sqm,Rft,Rmt,Kg,Ltr,Set,Cum,Job,LS"</formula1>
      <formula2>0</formula2>
    </dataValidation>
    <dataValidation type="list" allowBlank="1" showInputMessage="1" showErrorMessage="1" sqref="C13:D13" xr:uid="{4C218F0F-1B94-384B-A335-91B9B94DF21B}">
      <formula1>$W$1:$W$3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3759-FDAB-794A-9E58-1A204092C356}">
  <sheetPr>
    <tabColor rgb="FF173B2E"/>
  </sheetPr>
  <dimension ref="A1:Y22"/>
  <sheetViews>
    <sheetView zoomScale="120" zoomScaleNormal="120" workbookViewId="0">
      <selection activeCell="P14" sqref="P14:Q14"/>
    </sheetView>
  </sheetViews>
  <sheetFormatPr defaultColWidth="11.42578125" defaultRowHeight="15" x14ac:dyDescent="0.25"/>
  <sheetData>
    <row r="1" spans="1:25" ht="18.75" thickBot="1" x14ac:dyDescent="0.3">
      <c r="A1" s="37" t="s">
        <v>99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Y1" s="33" t="str">
        <f>J6</f>
        <v>Vendor 1 — name</v>
      </c>
    </row>
    <row r="2" spans="1:25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Y2" s="33" t="str">
        <f>L6</f>
        <v>Vendor 2 — name</v>
      </c>
    </row>
    <row r="3" spans="1:25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Y3" s="33" t="str">
        <f>N6</f>
        <v>Vendor 3 — name</v>
      </c>
    </row>
    <row r="5" spans="1:25" x14ac:dyDescent="0.25">
      <c r="A5" s="45" t="s">
        <v>100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5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5" x14ac:dyDescent="0.25">
      <c r="A7" s="44" t="s">
        <v>146</v>
      </c>
      <c r="B7" s="44"/>
      <c r="C7" s="44"/>
      <c r="D7" s="44"/>
      <c r="E7" s="44"/>
      <c r="F7" s="44"/>
      <c r="G7" s="4">
        <v>100000</v>
      </c>
      <c r="H7" s="30"/>
      <c r="I7" s="4">
        <f>I22</f>
        <v>39500</v>
      </c>
      <c r="K7" s="4">
        <f>K22</f>
        <v>45350</v>
      </c>
      <c r="M7" s="4">
        <f>M22</f>
        <v>44900</v>
      </c>
      <c r="O7" s="4">
        <f>O22</f>
        <v>64250</v>
      </c>
      <c r="Q7" s="4">
        <f>Q22</f>
        <v>111000</v>
      </c>
    </row>
    <row r="8" spans="1:25" x14ac:dyDescent="0.25">
      <c r="A8" s="54" t="s">
        <v>147</v>
      </c>
      <c r="B8" s="54"/>
      <c r="C8" s="54"/>
      <c r="D8" s="54"/>
      <c r="E8" s="54"/>
      <c r="F8" s="54"/>
      <c r="G8" s="14">
        <f>G7</f>
        <v>100000</v>
      </c>
      <c r="H8" s="31"/>
      <c r="I8" s="14">
        <f>I7</f>
        <v>39500</v>
      </c>
      <c r="K8" s="14">
        <f>K7</f>
        <v>45350</v>
      </c>
      <c r="M8" s="14">
        <f>M7</f>
        <v>44900</v>
      </c>
      <c r="O8" s="14">
        <f>O7</f>
        <v>64250</v>
      </c>
      <c r="Q8" s="14">
        <f>Q7</f>
        <v>111000</v>
      </c>
    </row>
    <row r="9" spans="1:25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4">
        <f>IF(I8=0,"",I8-$G$8)</f>
        <v>-60500</v>
      </c>
      <c r="K9" s="4">
        <f>IF(K8=0,"",K8-$G$8)</f>
        <v>-54650</v>
      </c>
      <c r="M9" s="4">
        <f>IF(M8=0,"",M8-$G$8)</f>
        <v>-55100</v>
      </c>
      <c r="O9" s="4">
        <f>IF(O8=0,"",O8-$G$8)</f>
        <v>-35750</v>
      </c>
      <c r="Q9" s="4">
        <f>IF(Q8=0,"",Q8-$G$8)</f>
        <v>11000</v>
      </c>
    </row>
    <row r="10" spans="1:25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6">
        <f>IF(OR(I8=0,$G$8=0),"",I8/$G$8-1)</f>
        <v>-0.60499999999999998</v>
      </c>
      <c r="K10" s="6">
        <f>IF(OR(K8=0,$G$8=0),"",K8/$G$8-1)</f>
        <v>-0.54649999999999999</v>
      </c>
      <c r="M10" s="6">
        <f>IF(OR(M8=0,$G$8=0),"",M8/$G$8-1)</f>
        <v>-0.55099999999999993</v>
      </c>
      <c r="O10" s="6">
        <f>IF(OR(O8=0,$G$8=0),"",O8/$G$8-1)</f>
        <v>-0.35750000000000004</v>
      </c>
      <c r="Q10" s="6">
        <f>IF(OR(Q8=0,$G$8=0),"",Q8/$G$8-1)</f>
        <v>0.1100000000000001</v>
      </c>
    </row>
    <row r="11" spans="1:25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5" t="s">
        <v>13</v>
      </c>
      <c r="K11" s="5">
        <f>IF(K8=0,"",1+IF(AND(M8&gt;0,M8&lt;K8),1,0)+IF(AND(O8&gt;0,O8&lt;K8),1,0)+IF(AND(Q8&gt;0,Q8&lt;K8),1,0))</f>
        <v>2</v>
      </c>
      <c r="M11" s="5">
        <f>IF(M8=0,"",1+IF(AND(K8&gt;0,K8&lt;M8),1,0)+IF(AND(O8&gt;0,O8&lt;M8),1,0)+IF(AND(Q8&gt;0,Q8&lt;M8),1,0))</f>
        <v>1</v>
      </c>
      <c r="O11" s="5">
        <f>IF(O8=0,"",1+IF(AND(K8&gt;0,K8&lt;O8),1,0)+IF(AND(M8&gt;0,M8&lt;O8),1,0)+IF(AND(Q8&gt;0,Q8&lt;O8),1,0))</f>
        <v>3</v>
      </c>
      <c r="Q11" s="5">
        <f>IF(Q8=0,"",1+IF(AND(K8&gt;0,K8&lt;Q8),1,0)+IF(AND(M8&gt;0,M8&lt;Q8),1,0)+IF(AND(O8&gt;0,O8&lt;Q8),1,0))</f>
        <v>4</v>
      </c>
    </row>
    <row r="12" spans="1:25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5">
        <f>IF(I8=0,"",COUNT($E$17:$E$21)-COUNT(H17:H21))</f>
        <v>0</v>
      </c>
      <c r="K12" s="5">
        <f>IF(K8=0,"",COUNT($E$17:$E$21)-COUNT(J17:J21))</f>
        <v>0</v>
      </c>
      <c r="M12" s="5">
        <f>IF(M8=0,"",COUNT($E$17:$E$21)-COUNT(L17:L21))</f>
        <v>0</v>
      </c>
      <c r="O12" s="5">
        <f>IF(O8=0,"",COUNT($E$17:$E$21)-COUNT(N17:N21))</f>
        <v>0</v>
      </c>
      <c r="Q12" s="5">
        <f>IF(Q8=0,"",COUNT($E$17:$E$21)-COUNT(P17:P21))</f>
        <v>0</v>
      </c>
    </row>
    <row r="13" spans="1:25" x14ac:dyDescent="0.25">
      <c r="A13" s="34" t="s">
        <v>140</v>
      </c>
      <c r="C13" s="53"/>
      <c r="D13" s="53"/>
      <c r="F13" s="35" t="s">
        <v>150</v>
      </c>
      <c r="H13" s="36" t="str">
        <f>IF($C13="","",IF($C13=J6,K7,IF($C13=L6,M7,IF($C13=N6,O7,IF($C13=P6,Q7,"")))))</f>
        <v/>
      </c>
    </row>
    <row r="14" spans="1:25" x14ac:dyDescent="0.25">
      <c r="A14" s="48" t="s">
        <v>101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48"/>
      <c r="R14" s="48" t="s">
        <v>17</v>
      </c>
      <c r="S14" s="48"/>
      <c r="T14" s="48"/>
      <c r="U14" s="48"/>
      <c r="V14" s="13" t="s">
        <v>18</v>
      </c>
    </row>
    <row r="15" spans="1:25" ht="38.2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5" x14ac:dyDescent="0.25">
      <c r="A16" s="49" t="s">
        <v>35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</row>
    <row r="17" spans="1:22" ht="25.5" x14ac:dyDescent="0.25">
      <c r="A17" s="5">
        <v>6</v>
      </c>
      <c r="B17" s="7" t="s">
        <v>144</v>
      </c>
      <c r="C17" s="7"/>
      <c r="D17" s="8" t="s">
        <v>145</v>
      </c>
      <c r="E17" s="8">
        <v>100</v>
      </c>
      <c r="F17" s="9">
        <v>125</v>
      </c>
      <c r="G17" s="4">
        <f>IF(OR($E17="",$F17=""),"",$E17*$F17)</f>
        <v>12500</v>
      </c>
      <c r="H17" s="9">
        <v>105</v>
      </c>
      <c r="I17" s="4">
        <f>IF(OR($E17="",H17=""),"",$E17*H17)</f>
        <v>10500</v>
      </c>
      <c r="J17" s="9">
        <v>155</v>
      </c>
      <c r="K17" s="4">
        <f>IF(OR($E17="",J17=""),"",$E17*J17)</f>
        <v>15500</v>
      </c>
      <c r="L17" s="9">
        <v>140</v>
      </c>
      <c r="M17" s="4">
        <f>IF(OR($E17="",L17=""),"",$E17*L17)</f>
        <v>14000</v>
      </c>
      <c r="N17" s="9">
        <v>130</v>
      </c>
      <c r="O17" s="4">
        <f>IF(OR($E17="",N17=""),"",$E17*N17)</f>
        <v>13000</v>
      </c>
      <c r="P17" s="9">
        <v>100</v>
      </c>
      <c r="Q17" s="4">
        <f>IF(OR($E17="",P17=""),"",$E17*P17)</f>
        <v>10000</v>
      </c>
      <c r="R17" s="10">
        <f>IF(MIN(IF(J17=0,9.9E+30,J17),IF(L17=0,9.9E+30,L17),IF(N17=0,9.9E+30,N17),IF(P17=0,9.9E+30,P17))&gt;9E+30,"",MIN(IF(J17=0,9.9E+30,J17),IF(L17=0,9.9E+30,L17),IF(N17=0,9.9E+30,N17),IF(P17=0,9.9E+30,P17)))</f>
        <v>100</v>
      </c>
      <c r="S17" s="5" t="str">
        <f>IF($R17="","",IF(J17=$R17,$J$6,IF(L17=$R17,$L$6,IF(N17=$R17,$N$6,IF(P17=$R17,$P$6,"")))))</f>
        <v>Vendor 4 — name</v>
      </c>
      <c r="T17" s="4">
        <f>IF(OR($R17="",$E17=""),"",$E17*$R17)</f>
        <v>10000</v>
      </c>
      <c r="U17" s="6">
        <f>IF(OR($F17="",$F17=0,$R17=""),"",$R17/$F17-1)</f>
        <v>-0.19999999999999996</v>
      </c>
      <c r="V17" s="7"/>
    </row>
    <row r="18" spans="1:22" ht="33" customHeight="1" x14ac:dyDescent="0.25">
      <c r="A18" s="5">
        <v>7</v>
      </c>
      <c r="B18" s="7"/>
      <c r="C18" s="7"/>
      <c r="D18" s="8" t="s">
        <v>145</v>
      </c>
      <c r="E18" s="8">
        <v>200</v>
      </c>
      <c r="F18" s="9">
        <v>100</v>
      </c>
      <c r="G18" s="4">
        <f>IF(OR($E18="",$F18=""),"",$E18*$F18)</f>
        <v>20000</v>
      </c>
      <c r="H18" s="9">
        <v>100</v>
      </c>
      <c r="I18" s="4">
        <f>IF(OR($E18="",H18=""),"",$E18*H18)</f>
        <v>20000</v>
      </c>
      <c r="J18" s="9">
        <v>102</v>
      </c>
      <c r="K18" s="4">
        <f>IF(OR($E18="",J18=""),"",$E18*J18)</f>
        <v>20400</v>
      </c>
      <c r="L18" s="9">
        <v>105</v>
      </c>
      <c r="M18" s="4">
        <f>IF(OR($E18="",L18=""),"",$E18*L18)</f>
        <v>21000</v>
      </c>
      <c r="N18" s="9">
        <v>200</v>
      </c>
      <c r="O18" s="4">
        <f>IF(OR($E18="",N18=""),"",$E18*N18)</f>
        <v>40000</v>
      </c>
      <c r="P18" s="9">
        <v>100</v>
      </c>
      <c r="Q18" s="4">
        <f>IF(OR($E18="",P18=""),"",$E18*P18)</f>
        <v>20000</v>
      </c>
      <c r="R18" s="10">
        <f>IF(MIN(IF(J18=0,9.9E+30,J18),IF(L18=0,9.9E+30,L18),IF(N18=0,9.9E+30,N18),IF(P18=0,9.9E+30,P18))&gt;9E+30,"",MIN(IF(J18=0,9.9E+30,J18),IF(L18=0,9.9E+30,L18),IF(N18=0,9.9E+30,N18),IF(P18=0,9.9E+30,P18)))</f>
        <v>100</v>
      </c>
      <c r="S18" s="5" t="str">
        <f>IF($R18="","",IF(J18=$R18,$J$6,IF(L18=$R18,$L$6,IF(N18=$R18,$N$6,IF(P18=$R18,$P$6,"")))))</f>
        <v>Vendor 4 — name</v>
      </c>
      <c r="T18" s="4">
        <f>IF(OR($R18="",$E18=""),"",$E18*$R18)</f>
        <v>20000</v>
      </c>
      <c r="U18" s="6">
        <f>IF(OR($F18="",$F18=0,$R18=""),"",$R18/$F18-1)</f>
        <v>0</v>
      </c>
      <c r="V18" s="7"/>
    </row>
    <row r="19" spans="1:22" ht="29.1" customHeight="1" x14ac:dyDescent="0.25">
      <c r="A19" s="15">
        <v>8</v>
      </c>
      <c r="B19" s="16"/>
      <c r="C19" s="16"/>
      <c r="D19" s="17" t="s">
        <v>145</v>
      </c>
      <c r="E19" s="17">
        <v>90</v>
      </c>
      <c r="F19" s="18">
        <v>120</v>
      </c>
      <c r="G19" s="19">
        <f>IF(OR($E19="",$F19=""),"",$E19*$F19)</f>
        <v>10800</v>
      </c>
      <c r="H19" s="18">
        <v>100</v>
      </c>
      <c r="I19" s="19">
        <f>IF(OR($E19="",H19=""),"",$E19*H19)</f>
        <v>9000</v>
      </c>
      <c r="J19" s="18">
        <v>105</v>
      </c>
      <c r="K19" s="19">
        <f>IF(OR($E19="",J19=""),"",$E19*J19)</f>
        <v>9450</v>
      </c>
      <c r="L19" s="18">
        <v>110</v>
      </c>
      <c r="M19" s="19">
        <f>IF(OR($E19="",L19=""),"",$E19*L19)</f>
        <v>9900</v>
      </c>
      <c r="N19" s="18">
        <v>125</v>
      </c>
      <c r="O19" s="19">
        <f>IF(OR($E19="",N19=""),"",$E19*N19)</f>
        <v>11250</v>
      </c>
      <c r="P19" s="18">
        <v>900</v>
      </c>
      <c r="Q19" s="19">
        <f>IF(OR($E19="",P19=""),"",$E19*P19)</f>
        <v>81000</v>
      </c>
      <c r="R19" s="20">
        <f>IF(MIN(IF(J19=0,9.9E+30,J19),IF(L19=0,9.9E+30,L19),IF(N19=0,9.9E+30,N19),IF(P19=0,9.9E+30,P19))&gt;9E+30,"",MIN(IF(J19=0,9.9E+30,J19),IF(L19=0,9.9E+30,L19),IF(N19=0,9.9E+30,N19),IF(P19=0,9.9E+30,P19)))</f>
        <v>105</v>
      </c>
      <c r="S19" s="15" t="str">
        <f>IF($R19="","",IF(J19=$R19,$J$6,IF(L19=$R19,$L$6,IF(N19=$R19,$N$6,IF(P19=$R19,$P$6,"")))))</f>
        <v>Vendor 1 — name</v>
      </c>
      <c r="T19" s="19">
        <f>IF(OR($R19="",$E19=""),"",$E19*$R19)</f>
        <v>9450</v>
      </c>
      <c r="U19" s="21">
        <f>IF(OR($F19="",$F19=0,$R19=""),"",$R19/$F19-1)</f>
        <v>-0.125</v>
      </c>
      <c r="V19" s="16"/>
    </row>
    <row r="20" spans="1:22" x14ac:dyDescent="0.25">
      <c r="A20" s="15">
        <v>9</v>
      </c>
      <c r="B20" s="16"/>
      <c r="C20" s="16"/>
      <c r="D20" s="17"/>
      <c r="E20" s="17"/>
      <c r="F20" s="18"/>
      <c r="G20" s="19" t="str">
        <f>IF(OR($E20="",$F20=""),"",$E20*$F20)</f>
        <v/>
      </c>
      <c r="H20" s="18"/>
      <c r="I20" s="19" t="str">
        <f>IF(OR($E20="",H20=""),"",$E20*H20)</f>
        <v/>
      </c>
      <c r="J20" s="18"/>
      <c r="K20" s="19" t="str">
        <f>IF(OR($E20="",J20=""),"",$E20*J20)</f>
        <v/>
      </c>
      <c r="L20" s="18"/>
      <c r="M20" s="19" t="str">
        <f>IF(OR($E20="",L20=""),"",$E20*L20)</f>
        <v/>
      </c>
      <c r="N20" s="18"/>
      <c r="O20" s="19" t="str">
        <f>IF(OR($E20="",N20=""),"",$E20*N20)</f>
        <v/>
      </c>
      <c r="P20" s="18"/>
      <c r="Q20" s="19" t="str">
        <f>IF(OR($E20="",P20=""),"",$E20*P20)</f>
        <v/>
      </c>
      <c r="R20" s="20" t="str">
        <f>IF(MIN(IF(J20=0,9.9E+30,J20),IF(L20=0,9.9E+30,L20),IF(N20=0,9.9E+30,N20),IF(P20=0,9.9E+30,P20))&gt;9E+30,"",MIN(IF(J20=0,9.9E+30,J20),IF(L20=0,9.9E+30,L20),IF(N20=0,9.9E+30,N20),IF(P20=0,9.9E+30,P20)))</f>
        <v/>
      </c>
      <c r="S20" s="15" t="str">
        <f>IF($R20="","",IF(J20=$R20,$J$6,IF(L20=$R20,$L$6,IF(N20=$R20,$N$6,IF(P20=$R20,$P$6,"")))))</f>
        <v/>
      </c>
      <c r="T20" s="19" t="str">
        <f>IF(OR($R20="",$E20=""),"",$E20*$R20)</f>
        <v/>
      </c>
      <c r="U20" s="21" t="str">
        <f>IF(OR($F20="",$F20=0,$R20=""),"",$R20/$F20-1)</f>
        <v/>
      </c>
      <c r="V20" s="16"/>
    </row>
    <row r="21" spans="1:22" ht="15.75" thickBot="1" x14ac:dyDescent="0.3">
      <c r="A21" s="15">
        <v>10</v>
      </c>
      <c r="B21" s="16"/>
      <c r="C21" s="16"/>
      <c r="D21" s="17"/>
      <c r="E21" s="17"/>
      <c r="F21" s="18"/>
      <c r="G21" s="19" t="str">
        <f>IF(OR($E21="",$F21=""),"",$E21*$F21)</f>
        <v/>
      </c>
      <c r="H21" s="18"/>
      <c r="I21" s="19" t="str">
        <f>IF(OR($E21="",H21=""),"",$E21*H21)</f>
        <v/>
      </c>
      <c r="J21" s="18"/>
      <c r="K21" s="19" t="str">
        <f>IF(OR($E21="",J21=""),"",$E21*J21)</f>
        <v/>
      </c>
      <c r="L21" s="18"/>
      <c r="M21" s="19" t="str">
        <f>IF(OR($E21="",L21=""),"",$E21*L21)</f>
        <v/>
      </c>
      <c r="N21" s="18"/>
      <c r="O21" s="19" t="str">
        <f>IF(OR($E21="",N21=""),"",$E21*N21)</f>
        <v/>
      </c>
      <c r="P21" s="18"/>
      <c r="Q21" s="19" t="str">
        <f>IF(OR($E21="",P21=""),"",$E21*P21)</f>
        <v/>
      </c>
      <c r="R21" s="20" t="str">
        <f>IF(MIN(IF(J21=0,9.9E+30,J21),IF(L21=0,9.9E+30,L21),IF(N21=0,9.9E+30,N21),IF(P21=0,9.9E+30,P21))&gt;9E+30,"",MIN(IF(J21=0,9.9E+30,J21),IF(L21=0,9.9E+30,L21),IF(N21=0,9.9E+30,N21),IF(P21=0,9.9E+30,P21)))</f>
        <v/>
      </c>
      <c r="S21" s="15" t="str">
        <f>IF($R21="","",IF(J21=$R21,$J$6,IF(L21=$R21,$L$6,IF(N21=$R21,$N$6,IF(P21=$R21,$P$6,"")))))</f>
        <v/>
      </c>
      <c r="T21" s="19" t="str">
        <f>IF(OR($R21="",$E21=""),"",$E21*$R21)</f>
        <v/>
      </c>
      <c r="U21" s="21" t="str">
        <f>IF(OR($F21="",$F21=0,$R21=""),"",$R21/$F21-1)</f>
        <v/>
      </c>
      <c r="V21" s="16"/>
    </row>
    <row r="22" spans="1:22" x14ac:dyDescent="0.25">
      <c r="A22" s="50" t="s">
        <v>36</v>
      </c>
      <c r="B22" s="50"/>
      <c r="C22" s="50"/>
      <c r="D22" s="50"/>
      <c r="E22" s="50"/>
      <c r="F22" s="50"/>
      <c r="G22" s="23">
        <f>SUM(G17:G21)</f>
        <v>43300</v>
      </c>
      <c r="H22" s="22"/>
      <c r="I22" s="23">
        <f>SUM(I17:I21)</f>
        <v>39500</v>
      </c>
      <c r="J22" s="24"/>
      <c r="K22" s="23">
        <f>SUM(K17:K21)</f>
        <v>45350</v>
      </c>
      <c r="L22" s="24"/>
      <c r="M22" s="23">
        <f>SUM(M17:M21)</f>
        <v>44900</v>
      </c>
      <c r="N22" s="24"/>
      <c r="O22" s="23">
        <f>SUM(O17:O21)</f>
        <v>64250</v>
      </c>
      <c r="P22" s="24"/>
      <c r="Q22" s="23">
        <f>SUM(Q17:Q21)</f>
        <v>111000</v>
      </c>
      <c r="R22" s="24"/>
      <c r="S22" s="24"/>
      <c r="T22" s="23">
        <f>SUM(T17:T21)</f>
        <v>39450</v>
      </c>
      <c r="U22" s="24"/>
      <c r="V22" s="24"/>
    </row>
  </sheetData>
  <mergeCells count="28">
    <mergeCell ref="R14:U14"/>
    <mergeCell ref="A16:V16"/>
    <mergeCell ref="A22:F22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6:J22">
    <cfRule type="expression" dxfId="95" priority="1">
      <formula>AND(J16&lt;&gt;"",J16=$R16)</formula>
    </cfRule>
    <cfRule type="expression" dxfId="94" priority="2">
      <formula>AND($E16&lt;&gt;"",J16="")</formula>
    </cfRule>
  </conditionalFormatting>
  <conditionalFormatting sqref="L16:L22">
    <cfRule type="expression" dxfId="93" priority="3">
      <formula>AND(L16&lt;&gt;"",L16=$R16)</formula>
    </cfRule>
    <cfRule type="expression" dxfId="92" priority="4">
      <formula>AND($E16&lt;&gt;"",L16="")</formula>
    </cfRule>
  </conditionalFormatting>
  <conditionalFormatting sqref="N16:N22">
    <cfRule type="expression" dxfId="91" priority="5">
      <formula>AND(N16&lt;&gt;"",N16=$R16)</formula>
    </cfRule>
    <cfRule type="expression" dxfId="90" priority="6">
      <formula>AND($E16&lt;&gt;"",N16="")</formula>
    </cfRule>
  </conditionalFormatting>
  <conditionalFormatting sqref="P16:P22">
    <cfRule type="expression" dxfId="89" priority="7">
      <formula>AND(P16&lt;&gt;"",P16=$R16)</formula>
    </cfRule>
    <cfRule type="expression" dxfId="88" priority="8">
      <formula>AND($E16&lt;&gt;"",P16="")</formula>
    </cfRule>
  </conditionalFormatting>
  <dataValidations count="2">
    <dataValidation type="list" allowBlank="1" sqref="D16:D22" xr:uid="{DB82E333-E5D5-3D44-BEE4-146387B98F4D}">
      <formula1>"Nos,Sqft,Sqm,Rft,Rmt,Kg,Ltr,Set,Cum,Job,LS"</formula1>
      <formula2>0</formula2>
    </dataValidation>
    <dataValidation type="list" allowBlank="1" showInputMessage="1" showErrorMessage="1" sqref="C13:D13" xr:uid="{5E8F13E7-A441-2944-B0A5-7F0B6B6F2AA3}">
      <formula1>$Y$1:$Y$3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8999-C509-8B46-81F8-CE205801F620}">
  <sheetPr>
    <tabColor rgb="FF173B2E"/>
  </sheetPr>
  <dimension ref="A1:Y21"/>
  <sheetViews>
    <sheetView workbookViewId="0">
      <selection activeCell="H36" sqref="H36"/>
    </sheetView>
  </sheetViews>
  <sheetFormatPr defaultColWidth="11.42578125" defaultRowHeight="15" x14ac:dyDescent="0.25"/>
  <sheetData>
    <row r="1" spans="1:25" ht="18.75" thickBot="1" x14ac:dyDescent="0.3">
      <c r="A1" s="37" t="s">
        <v>102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Y1" s="33" t="str">
        <f>J6</f>
        <v>Vendor 1 — name</v>
      </c>
    </row>
    <row r="2" spans="1:25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Y2" s="33" t="str">
        <f>L6</f>
        <v>Vendor 2 — name</v>
      </c>
    </row>
    <row r="3" spans="1:25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Y3" s="33" t="str">
        <f>N6</f>
        <v>Vendor 3 — name</v>
      </c>
    </row>
    <row r="5" spans="1:25" x14ac:dyDescent="0.25">
      <c r="A5" s="45" t="s">
        <v>103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5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5" x14ac:dyDescent="0.25">
      <c r="A7" s="44" t="s">
        <v>146</v>
      </c>
      <c r="B7" s="44"/>
      <c r="C7" s="44"/>
      <c r="D7" s="44"/>
      <c r="E7" s="44"/>
      <c r="F7" s="44"/>
      <c r="G7" s="4">
        <f>G21</f>
        <v>0</v>
      </c>
      <c r="H7" s="30"/>
      <c r="I7" s="4">
        <f>I21</f>
        <v>0</v>
      </c>
      <c r="K7" s="4">
        <f>K21</f>
        <v>0</v>
      </c>
      <c r="M7" s="4">
        <f>M21</f>
        <v>0</v>
      </c>
      <c r="O7" s="4">
        <f>O21</f>
        <v>0</v>
      </c>
      <c r="Q7" s="4">
        <f>Q21</f>
        <v>0</v>
      </c>
    </row>
    <row r="8" spans="1:25" x14ac:dyDescent="0.25">
      <c r="A8" s="54" t="s">
        <v>147</v>
      </c>
      <c r="B8" s="54"/>
      <c r="C8" s="54"/>
      <c r="D8" s="54"/>
      <c r="E8" s="54"/>
      <c r="F8" s="54"/>
      <c r="G8" s="14">
        <f>G7</f>
        <v>0</v>
      </c>
      <c r="H8" s="31"/>
      <c r="I8" s="14">
        <f>I7</f>
        <v>0</v>
      </c>
      <c r="K8" s="14">
        <f>K7</f>
        <v>0</v>
      </c>
      <c r="M8" s="14">
        <f>M7</f>
        <v>0</v>
      </c>
      <c r="O8" s="14">
        <f>O7</f>
        <v>0</v>
      </c>
      <c r="Q8" s="14">
        <f>Q7</f>
        <v>0</v>
      </c>
    </row>
    <row r="9" spans="1:25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4" t="str">
        <f>IF(I8=0,"",I8-$G$8)</f>
        <v/>
      </c>
      <c r="K9" s="4" t="str">
        <f>IF(K8=0,"",K8-$G$8)</f>
        <v/>
      </c>
      <c r="M9" s="4" t="str">
        <f>IF(M8=0,"",M8-$G$8)</f>
        <v/>
      </c>
      <c r="O9" s="4" t="str">
        <f>IF(O8=0,"",O8-$G$8)</f>
        <v/>
      </c>
      <c r="Q9" s="4" t="str">
        <f>IF(Q8=0,"",Q8-$G$8)</f>
        <v/>
      </c>
    </row>
    <row r="10" spans="1:25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6" t="str">
        <f>IF(OR(I8=0,$G$8=0),"",I8/$G$8-1)</f>
        <v/>
      </c>
      <c r="K10" s="6" t="str">
        <f>IF(OR(K8=0,$G$8=0),"",K8/$G$8-1)</f>
        <v/>
      </c>
      <c r="M10" s="6" t="str">
        <f>IF(OR(M8=0,$G$8=0),"",M8/$G$8-1)</f>
        <v/>
      </c>
      <c r="O10" s="6" t="str">
        <f>IF(OR(O8=0,$G$8=0),"",O8/$G$8-1)</f>
        <v/>
      </c>
      <c r="Q10" s="6" t="str">
        <f>IF(OR(Q8=0,$G$8=0),"",Q8/$G$8-1)</f>
        <v/>
      </c>
    </row>
    <row r="11" spans="1:25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5" t="s">
        <v>13</v>
      </c>
      <c r="K11" s="5" t="str">
        <f>IF(K8=0,"",1+IF(AND(M8&gt;0,M8&lt;K8),1,0)+IF(AND(O8&gt;0,O8&lt;K8),1,0)+IF(AND(Q8&gt;0,Q8&lt;K8),1,0))</f>
        <v/>
      </c>
      <c r="M11" s="5" t="str">
        <f>IF(M8=0,"",1+IF(AND(K8&gt;0,K8&lt;M8),1,0)+IF(AND(O8&gt;0,O8&lt;M8),1,0)+IF(AND(Q8&gt;0,Q8&lt;M8),1,0))</f>
        <v/>
      </c>
      <c r="O11" s="5" t="str">
        <f>IF(O8=0,"",1+IF(AND(K8&gt;0,K8&lt;O8),1,0)+IF(AND(M8&gt;0,M8&lt;O8),1,0)+IF(AND(Q8&gt;0,Q8&lt;O8),1,0))</f>
        <v/>
      </c>
      <c r="Q11" s="5" t="str">
        <f>IF(Q8=0,"",1+IF(AND(K8&gt;0,K8&lt;Q8),1,0)+IF(AND(M8&gt;0,M8&lt;Q8),1,0)+IF(AND(O8&gt;0,O8&lt;Q8),1,0))</f>
        <v/>
      </c>
    </row>
    <row r="12" spans="1:25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5" t="str">
        <f>IF(I8=0,"",COUNT($E$17:$E$20)-COUNT(H17:H20))</f>
        <v/>
      </c>
      <c r="K12" s="5" t="str">
        <f>IF(K8=0,"",COUNT($E$17:$E$20)-COUNT(J17:J20))</f>
        <v/>
      </c>
      <c r="M12" s="5" t="str">
        <f>IF(M8=0,"",COUNT($E$17:$E$20)-COUNT(L17:L20))</f>
        <v/>
      </c>
      <c r="O12" s="5" t="str">
        <f>IF(O8=0,"",COUNT($E$17:$E$20)-COUNT(N17:N20))</f>
        <v/>
      </c>
      <c r="Q12" s="5" t="str">
        <f>IF(Q8=0,"",COUNT($E$17:$E$20)-COUNT(P17:P20))</f>
        <v/>
      </c>
    </row>
    <row r="13" spans="1:25" x14ac:dyDescent="0.25">
      <c r="A13" s="34" t="s">
        <v>140</v>
      </c>
      <c r="C13" s="53"/>
      <c r="D13" s="53"/>
      <c r="F13" s="35" t="s">
        <v>150</v>
      </c>
      <c r="H13" s="36" t="str">
        <f>IF($C13="","",IF($C13=J6,K7,IF($C13=L6,M7,IF($C13=N6,O7,IF($C13=P6,Q7,"")))))</f>
        <v/>
      </c>
    </row>
    <row r="14" spans="1:25" x14ac:dyDescent="0.25">
      <c r="A14" s="48" t="s">
        <v>104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48"/>
      <c r="R14" s="48" t="s">
        <v>17</v>
      </c>
      <c r="S14" s="48"/>
      <c r="T14" s="48"/>
      <c r="U14" s="48"/>
      <c r="V14" s="13" t="s">
        <v>18</v>
      </c>
    </row>
    <row r="15" spans="1:25" ht="38.2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5" x14ac:dyDescent="0.25">
      <c r="A16" s="49" t="s">
        <v>37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</row>
    <row r="17" spans="1:22" x14ac:dyDescent="0.25">
      <c r="A17" s="5">
        <v>10</v>
      </c>
      <c r="B17" s="7"/>
      <c r="C17" s="7"/>
      <c r="D17" s="8"/>
      <c r="E17" s="8"/>
      <c r="F17" s="9"/>
      <c r="G17" s="4" t="str">
        <f>IF(OR($E17="",$F17=""),"",$E17*$F17)</f>
        <v/>
      </c>
      <c r="H17" s="9"/>
      <c r="I17" s="4" t="str">
        <f>IF(OR($E17="",H17=""),"",$E17*H17)</f>
        <v/>
      </c>
      <c r="J17" s="9"/>
      <c r="K17" s="4" t="str">
        <f>IF(OR($E17="",J17=""),"",$E17*J17)</f>
        <v/>
      </c>
      <c r="L17" s="9"/>
      <c r="M17" s="4" t="str">
        <f>IF(OR($E17="",L17=""),"",$E17*L17)</f>
        <v/>
      </c>
      <c r="N17" s="9"/>
      <c r="O17" s="4" t="str">
        <f>IF(OR($E17="",N17=""),"",$E17*N17)</f>
        <v/>
      </c>
      <c r="P17" s="9"/>
      <c r="Q17" s="4" t="str">
        <f>IF(OR($E17="",P17=""),"",$E17*P17)</f>
        <v/>
      </c>
      <c r="R17" s="10" t="str">
        <f>IF(MIN(IF(J17=0,9.9E+30,J17),IF(L17=0,9.9E+30,L17),IF(N17=0,9.9E+30,N17),IF(P17=0,9.9E+30,P17))&gt;9E+30,"",MIN(IF(J17=0,9.9E+30,J17),IF(L17=0,9.9E+30,L17),IF(N17=0,9.9E+30,N17),IF(P17=0,9.9E+30,P17)))</f>
        <v/>
      </c>
      <c r="S17" s="5" t="str">
        <f>IF($R17="","",IF(J17=$R17,$J$6,IF(L17=$R17,$L$6,IF(N17=$R17,$N$6,IF(P17=$R17,$P$6,"")))))</f>
        <v/>
      </c>
      <c r="T17" s="4" t="str">
        <f>IF(OR($R17="",$E17=""),"",$E17*$R17)</f>
        <v/>
      </c>
      <c r="U17" s="6" t="str">
        <f>IF(OR($F17="",$F17=0,$R17=""),"",$R17/$F17-1)</f>
        <v/>
      </c>
      <c r="V17" s="7"/>
    </row>
    <row r="18" spans="1:22" x14ac:dyDescent="0.25">
      <c r="A18" s="5">
        <v>11</v>
      </c>
      <c r="B18" s="7"/>
      <c r="C18" s="7"/>
      <c r="D18" s="8"/>
      <c r="E18" s="8"/>
      <c r="F18" s="9"/>
      <c r="G18" s="4" t="str">
        <f>IF(OR($E18="",$F18=""),"",$E18*$F18)</f>
        <v/>
      </c>
      <c r="H18" s="9"/>
      <c r="I18" s="4" t="str">
        <f>IF(OR($E18="",H18=""),"",$E18*H18)</f>
        <v/>
      </c>
      <c r="J18" s="9"/>
      <c r="K18" s="4" t="str">
        <f>IF(OR($E18="",J18=""),"",$E18*J18)</f>
        <v/>
      </c>
      <c r="L18" s="9"/>
      <c r="M18" s="4" t="str">
        <f>IF(OR($E18="",L18=""),"",$E18*L18)</f>
        <v/>
      </c>
      <c r="N18" s="9"/>
      <c r="O18" s="4" t="str">
        <f>IF(OR($E18="",N18=""),"",$E18*N18)</f>
        <v/>
      </c>
      <c r="P18" s="9"/>
      <c r="Q18" s="4" t="str">
        <f>IF(OR($E18="",P18=""),"",$E18*P18)</f>
        <v/>
      </c>
      <c r="R18" s="10" t="str">
        <f>IF(MIN(IF(J18=0,9.9E+30,J18),IF(L18=0,9.9E+30,L18),IF(N18=0,9.9E+30,N18),IF(P18=0,9.9E+30,P18))&gt;9E+30,"",MIN(IF(J18=0,9.9E+30,J18),IF(L18=0,9.9E+30,L18),IF(N18=0,9.9E+30,N18),IF(P18=0,9.9E+30,P18)))</f>
        <v/>
      </c>
      <c r="S18" s="5" t="str">
        <f>IF($R18="","",IF(J18=$R18,$J$6,IF(L18=$R18,$L$6,IF(N18=$R18,$N$6,IF(P18=$R18,$P$6,"")))))</f>
        <v/>
      </c>
      <c r="T18" s="4" t="str">
        <f>IF(OR($R18="",$E18=""),"",$E18*$R18)</f>
        <v/>
      </c>
      <c r="U18" s="6" t="str">
        <f>IF(OR($F18="",$F18=0,$R18=""),"",$R18/$F18-1)</f>
        <v/>
      </c>
      <c r="V18" s="7"/>
    </row>
    <row r="19" spans="1:22" x14ac:dyDescent="0.25">
      <c r="A19" s="15">
        <v>12</v>
      </c>
      <c r="B19" s="16"/>
      <c r="C19" s="16"/>
      <c r="D19" s="17"/>
      <c r="E19" s="17"/>
      <c r="F19" s="18"/>
      <c r="G19" s="19" t="str">
        <f>IF(OR($E19="",$F19=""),"",$E19*$F19)</f>
        <v/>
      </c>
      <c r="H19" s="18"/>
      <c r="I19" s="19" t="str">
        <f>IF(OR($E19="",H19=""),"",$E19*H19)</f>
        <v/>
      </c>
      <c r="J19" s="18"/>
      <c r="K19" s="19" t="str">
        <f>IF(OR($E19="",J19=""),"",$E19*J19)</f>
        <v/>
      </c>
      <c r="L19" s="18"/>
      <c r="M19" s="19" t="str">
        <f>IF(OR($E19="",L19=""),"",$E19*L19)</f>
        <v/>
      </c>
      <c r="N19" s="18"/>
      <c r="O19" s="19" t="str">
        <f>IF(OR($E19="",N19=""),"",$E19*N19)</f>
        <v/>
      </c>
      <c r="P19" s="18"/>
      <c r="Q19" s="19" t="str">
        <f>IF(OR($E19="",P19=""),"",$E19*P19)</f>
        <v/>
      </c>
      <c r="R19" s="20" t="str">
        <f>IF(MIN(IF(J19=0,9.9E+30,J19),IF(L19=0,9.9E+30,L19),IF(N19=0,9.9E+30,N19),IF(P19=0,9.9E+30,P19))&gt;9E+30,"",MIN(IF(J19=0,9.9E+30,J19),IF(L19=0,9.9E+30,L19),IF(N19=0,9.9E+30,N19),IF(P19=0,9.9E+30,P19)))</f>
        <v/>
      </c>
      <c r="S19" s="15" t="str">
        <f>IF($R19="","",IF(J19=$R19,$J$6,IF(L19=$R19,$L$6,IF(N19=$R19,$N$6,IF(P19=$R19,$P$6,"")))))</f>
        <v/>
      </c>
      <c r="T19" s="19" t="str">
        <f>IF(OR($R19="",$E19=""),"",$E19*$R19)</f>
        <v/>
      </c>
      <c r="U19" s="21" t="str">
        <f>IF(OR($F19="",$F19=0,$R19=""),"",$R19/$F19-1)</f>
        <v/>
      </c>
      <c r="V19" s="16"/>
    </row>
    <row r="20" spans="1:22" ht="15.75" thickBot="1" x14ac:dyDescent="0.3">
      <c r="A20" s="15">
        <v>13</v>
      </c>
      <c r="B20" s="16"/>
      <c r="C20" s="16"/>
      <c r="D20" s="17"/>
      <c r="E20" s="17"/>
      <c r="F20" s="18"/>
      <c r="G20" s="19" t="str">
        <f>IF(OR($E20="",$F20=""),"",$E20*$F20)</f>
        <v/>
      </c>
      <c r="H20" s="18"/>
      <c r="I20" s="19" t="str">
        <f>IF(OR($E20="",H20=""),"",$E20*H20)</f>
        <v/>
      </c>
      <c r="J20" s="18"/>
      <c r="K20" s="19" t="str">
        <f>IF(OR($E20="",J20=""),"",$E20*J20)</f>
        <v/>
      </c>
      <c r="L20" s="18"/>
      <c r="M20" s="19" t="str">
        <f>IF(OR($E20="",L20=""),"",$E20*L20)</f>
        <v/>
      </c>
      <c r="N20" s="18"/>
      <c r="O20" s="19" t="str">
        <f>IF(OR($E20="",N20=""),"",$E20*N20)</f>
        <v/>
      </c>
      <c r="P20" s="18"/>
      <c r="Q20" s="19" t="str">
        <f>IF(OR($E20="",P20=""),"",$E20*P20)</f>
        <v/>
      </c>
      <c r="R20" s="20" t="str">
        <f>IF(MIN(IF(J20=0,9.9E+30,J20),IF(L20=0,9.9E+30,L20),IF(N20=0,9.9E+30,N20),IF(P20=0,9.9E+30,P20))&gt;9E+30,"",MIN(IF(J20=0,9.9E+30,J20),IF(L20=0,9.9E+30,L20),IF(N20=0,9.9E+30,N20),IF(P20=0,9.9E+30,P20)))</f>
        <v/>
      </c>
      <c r="S20" s="15" t="str">
        <f>IF($R20="","",IF(J20=$R20,$J$6,IF(L20=$R20,$L$6,IF(N20=$R20,$N$6,IF(P20=$R20,$P$6,"")))))</f>
        <v/>
      </c>
      <c r="T20" s="19" t="str">
        <f>IF(OR($R20="",$E20=""),"",$E20*$R20)</f>
        <v/>
      </c>
      <c r="U20" s="21" t="str">
        <f>IF(OR($F20="",$F20=0,$R20=""),"",$R20/$F20-1)</f>
        <v/>
      </c>
      <c r="V20" s="16"/>
    </row>
    <row r="21" spans="1:22" x14ac:dyDescent="0.25">
      <c r="A21" s="50" t="s">
        <v>38</v>
      </c>
      <c r="B21" s="50"/>
      <c r="C21" s="50"/>
      <c r="D21" s="50"/>
      <c r="E21" s="50"/>
      <c r="F21" s="50"/>
      <c r="G21" s="23">
        <f>SUM(G17:G20)</f>
        <v>0</v>
      </c>
      <c r="H21" s="22"/>
      <c r="I21" s="23">
        <f>SUM(I17:I20)</f>
        <v>0</v>
      </c>
      <c r="J21" s="24"/>
      <c r="K21" s="23">
        <f>SUM(K17:K20)</f>
        <v>0</v>
      </c>
      <c r="L21" s="24"/>
      <c r="M21" s="23">
        <f>SUM(M17:M20)</f>
        <v>0</v>
      </c>
      <c r="N21" s="24"/>
      <c r="O21" s="23">
        <f>SUM(O17:O20)</f>
        <v>0</v>
      </c>
      <c r="P21" s="24"/>
      <c r="Q21" s="23">
        <f>SUM(Q17:Q20)</f>
        <v>0</v>
      </c>
      <c r="R21" s="24"/>
      <c r="S21" s="24"/>
      <c r="T21" s="23">
        <f>SUM(T17:T20)</f>
        <v>0</v>
      </c>
      <c r="U21" s="24"/>
      <c r="V21" s="24"/>
    </row>
  </sheetData>
  <mergeCells count="28">
    <mergeCell ref="R14:U14"/>
    <mergeCell ref="A16:V16"/>
    <mergeCell ref="A21:F21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6:J21">
    <cfRule type="expression" dxfId="87" priority="1">
      <formula>AND(J16&lt;&gt;"",J16=$R16)</formula>
    </cfRule>
    <cfRule type="expression" dxfId="86" priority="2">
      <formula>AND($E16&lt;&gt;"",J16="")</formula>
    </cfRule>
  </conditionalFormatting>
  <conditionalFormatting sqref="L16:L21">
    <cfRule type="expression" dxfId="85" priority="3">
      <formula>AND(L16&lt;&gt;"",L16=$R16)</formula>
    </cfRule>
    <cfRule type="expression" dxfId="84" priority="4">
      <formula>AND($E16&lt;&gt;"",L16="")</formula>
    </cfRule>
  </conditionalFormatting>
  <conditionalFormatting sqref="N16:N21">
    <cfRule type="expression" dxfId="83" priority="5">
      <formula>AND(N16&lt;&gt;"",N16=$R16)</formula>
    </cfRule>
    <cfRule type="expression" dxfId="82" priority="6">
      <formula>AND($E16&lt;&gt;"",N16="")</formula>
    </cfRule>
  </conditionalFormatting>
  <conditionalFormatting sqref="P16:P21">
    <cfRule type="expression" dxfId="81" priority="7">
      <formula>AND(P16&lt;&gt;"",P16=$R16)</formula>
    </cfRule>
    <cfRule type="expression" dxfId="80" priority="8">
      <formula>AND($E16&lt;&gt;"",P16="")</formula>
    </cfRule>
  </conditionalFormatting>
  <dataValidations count="2">
    <dataValidation type="list" allowBlank="1" sqref="D16:D21" xr:uid="{17327C0D-33E0-9A43-833F-CFB83D42EDD0}">
      <formula1>"Nos,Sqft,Sqm,Rft,Rmt,Kg,Ltr,Set,Cum,Job,LS"</formula1>
      <formula2>0</formula2>
    </dataValidation>
    <dataValidation type="list" allowBlank="1" showInputMessage="1" showErrorMessage="1" sqref="C13:D13" xr:uid="{906544F3-F981-D343-B6FA-F9C3AEAEF813}">
      <formula1>$Y$1:$Y$3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0C9D-EF90-AA40-BD68-D028409A40FB}">
  <sheetPr>
    <tabColor rgb="FF173B2E"/>
  </sheetPr>
  <dimension ref="A1:Y21"/>
  <sheetViews>
    <sheetView workbookViewId="0">
      <selection activeCell="H7" sqref="H7:I7"/>
    </sheetView>
  </sheetViews>
  <sheetFormatPr defaultColWidth="11.42578125" defaultRowHeight="15" x14ac:dyDescent="0.25"/>
  <sheetData>
    <row r="1" spans="1:25" ht="18.75" thickBot="1" x14ac:dyDescent="0.3">
      <c r="A1" s="37" t="s">
        <v>105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Y1" s="33" t="str">
        <f>J6</f>
        <v>Vendor 1 — name</v>
      </c>
    </row>
    <row r="2" spans="1:25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Y2" s="33" t="str">
        <f>L6</f>
        <v>Vendor 2 — name</v>
      </c>
    </row>
    <row r="3" spans="1:25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Y3" s="33" t="str">
        <f>N6</f>
        <v>Vendor 3 — name</v>
      </c>
    </row>
    <row r="5" spans="1:25" x14ac:dyDescent="0.25">
      <c r="A5" s="45" t="s">
        <v>106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5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5" x14ac:dyDescent="0.25">
      <c r="A7" s="44" t="s">
        <v>146</v>
      </c>
      <c r="B7" s="44"/>
      <c r="C7" s="44"/>
      <c r="D7" s="44"/>
      <c r="E7" s="44"/>
      <c r="F7" s="44"/>
      <c r="G7" s="4">
        <f>G21</f>
        <v>0</v>
      </c>
      <c r="H7" s="30"/>
      <c r="I7" s="4">
        <f>I21</f>
        <v>0</v>
      </c>
      <c r="K7" s="4">
        <f>K21</f>
        <v>0</v>
      </c>
      <c r="M7" s="4">
        <f>M21</f>
        <v>0</v>
      </c>
      <c r="O7" s="4">
        <f>O21</f>
        <v>0</v>
      </c>
      <c r="Q7" s="4">
        <f>Q21</f>
        <v>0</v>
      </c>
    </row>
    <row r="8" spans="1:25" x14ac:dyDescent="0.25">
      <c r="A8" s="54" t="s">
        <v>147</v>
      </c>
      <c r="B8" s="54"/>
      <c r="C8" s="54"/>
      <c r="D8" s="54"/>
      <c r="E8" s="54"/>
      <c r="F8" s="54"/>
      <c r="G8" s="14">
        <f>G7</f>
        <v>0</v>
      </c>
      <c r="H8" s="31"/>
      <c r="I8" s="14">
        <f>I7</f>
        <v>0</v>
      </c>
      <c r="K8" s="14">
        <f>K7</f>
        <v>0</v>
      </c>
      <c r="M8" s="14">
        <f>M7</f>
        <v>0</v>
      </c>
      <c r="O8" s="14">
        <f>O7</f>
        <v>0</v>
      </c>
      <c r="Q8" s="14">
        <f>Q7</f>
        <v>0</v>
      </c>
    </row>
    <row r="9" spans="1:25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4" t="str">
        <f>IF(I8=0,"",I8-$G$8)</f>
        <v/>
      </c>
      <c r="K9" s="4" t="str">
        <f>IF(K8=0,"",K8-$G$8)</f>
        <v/>
      </c>
      <c r="M9" s="4" t="str">
        <f>IF(M8=0,"",M8-$G$8)</f>
        <v/>
      </c>
      <c r="O9" s="4" t="str">
        <f>IF(O8=0,"",O8-$G$8)</f>
        <v/>
      </c>
      <c r="Q9" s="4" t="str">
        <f>IF(Q8=0,"",Q8-$G$8)</f>
        <v/>
      </c>
    </row>
    <row r="10" spans="1:25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6" t="str">
        <f>IF(OR(I8=0,$G$8=0),"",I8/$G$8-1)</f>
        <v/>
      </c>
      <c r="K10" s="6" t="str">
        <f>IF(OR(K8=0,$G$8=0),"",K8/$G$8-1)</f>
        <v/>
      </c>
      <c r="M10" s="6" t="str">
        <f>IF(OR(M8=0,$G$8=0),"",M8/$G$8-1)</f>
        <v/>
      </c>
      <c r="O10" s="6" t="str">
        <f>IF(OR(O8=0,$G$8=0),"",O8/$G$8-1)</f>
        <v/>
      </c>
      <c r="Q10" s="6" t="str">
        <f>IF(OR(Q8=0,$G$8=0),"",Q8/$G$8-1)</f>
        <v/>
      </c>
    </row>
    <row r="11" spans="1:25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5" t="s">
        <v>13</v>
      </c>
      <c r="K11" s="5" t="str">
        <f>IF(K8=0,"",1+IF(AND(M8&gt;0,M8&lt;K8),1,0)+IF(AND(O8&gt;0,O8&lt;K8),1,0)+IF(AND(Q8&gt;0,Q8&lt;K8),1,0))</f>
        <v/>
      </c>
      <c r="M11" s="5" t="str">
        <f>IF(M8=0,"",1+IF(AND(K8&gt;0,K8&lt;M8),1,0)+IF(AND(O8&gt;0,O8&lt;M8),1,0)+IF(AND(Q8&gt;0,Q8&lt;M8),1,0))</f>
        <v/>
      </c>
      <c r="O11" s="5" t="str">
        <f>IF(O8=0,"",1+IF(AND(K8&gt;0,K8&lt;O8),1,0)+IF(AND(M8&gt;0,M8&lt;O8),1,0)+IF(AND(Q8&gt;0,Q8&lt;O8),1,0))</f>
        <v/>
      </c>
      <c r="Q11" s="5" t="str">
        <f>IF(Q8=0,"",1+IF(AND(K8&gt;0,K8&lt;Q8),1,0)+IF(AND(M8&gt;0,M8&lt;Q8),1,0)+IF(AND(O8&gt;0,O8&lt;Q8),1,0))</f>
        <v/>
      </c>
    </row>
    <row r="12" spans="1:25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5" t="str">
        <f>IF(I8=0,"",COUNT($E$17:$E$20)-COUNT(H17:H20))</f>
        <v/>
      </c>
      <c r="K12" s="5" t="str">
        <f>IF(K8=0,"",COUNT($E$17:$E$20)-COUNT(J17:J20))</f>
        <v/>
      </c>
      <c r="M12" s="5" t="str">
        <f>IF(M8=0,"",COUNT($E$17:$E$20)-COUNT(L17:L20))</f>
        <v/>
      </c>
      <c r="O12" s="5" t="str">
        <f>IF(O8=0,"",COUNT($E$17:$E$20)-COUNT(N17:N20))</f>
        <v/>
      </c>
      <c r="Q12" s="5" t="str">
        <f>IF(Q8=0,"",COUNT($E$17:$E$20)-COUNT(P17:P20))</f>
        <v/>
      </c>
    </row>
    <row r="13" spans="1:25" x14ac:dyDescent="0.25">
      <c r="A13" s="34" t="s">
        <v>140</v>
      </c>
      <c r="C13" s="53"/>
      <c r="D13" s="53"/>
      <c r="F13" s="35" t="s">
        <v>150</v>
      </c>
      <c r="H13" s="36" t="str">
        <f>IF($C13="","",IF($C13=J6,K7,IF($C13=L6,M7,IF($C13=N6,O7,IF($C13=P6,Q7,"")))))</f>
        <v/>
      </c>
    </row>
    <row r="14" spans="1:25" x14ac:dyDescent="0.25">
      <c r="A14" s="48" t="s">
        <v>107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48"/>
      <c r="R14" s="48" t="s">
        <v>17</v>
      </c>
      <c r="S14" s="48"/>
      <c r="T14" s="48"/>
      <c r="U14" s="48"/>
      <c r="V14" s="13" t="s">
        <v>18</v>
      </c>
    </row>
    <row r="15" spans="1:25" ht="38.2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5" x14ac:dyDescent="0.25">
      <c r="A16" s="49" t="s">
        <v>39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</row>
    <row r="17" spans="1:22" x14ac:dyDescent="0.25">
      <c r="A17" s="5">
        <v>14</v>
      </c>
      <c r="B17" s="7"/>
      <c r="C17" s="7"/>
      <c r="D17" s="8"/>
      <c r="E17" s="8"/>
      <c r="F17" s="9"/>
      <c r="G17" s="4" t="str">
        <f>IF(OR($E17="",$F17=""),"",$E17*$F17)</f>
        <v/>
      </c>
      <c r="H17" s="9"/>
      <c r="I17" s="4" t="str">
        <f>IF(OR($E17="",H17=""),"",$E17*H17)</f>
        <v/>
      </c>
      <c r="J17" s="9"/>
      <c r="K17" s="4" t="str">
        <f>IF(OR($E17="",J17=""),"",$E17*J17)</f>
        <v/>
      </c>
      <c r="L17" s="9"/>
      <c r="M17" s="4" t="str">
        <f>IF(OR($E17="",L17=""),"",$E17*L17)</f>
        <v/>
      </c>
      <c r="N17" s="9"/>
      <c r="O17" s="4" t="str">
        <f>IF(OR($E17="",N17=""),"",$E17*N17)</f>
        <v/>
      </c>
      <c r="P17" s="9"/>
      <c r="Q17" s="4" t="str">
        <f>IF(OR($E17="",P17=""),"",$E17*P17)</f>
        <v/>
      </c>
      <c r="R17" s="10" t="str">
        <f>IF(MIN(IF(J17=0,9.9E+30,J17),IF(L17=0,9.9E+30,L17),IF(N17=0,9.9E+30,N17),IF(P17=0,9.9E+30,P17))&gt;9E+30,"",MIN(IF(J17=0,9.9E+30,J17),IF(L17=0,9.9E+30,L17),IF(N17=0,9.9E+30,N17),IF(P17=0,9.9E+30,P17)))</f>
        <v/>
      </c>
      <c r="S17" s="5" t="str">
        <f>IF($R17="","",IF(J17=$R17,$J$6,IF(L17=$R17,$L$6,IF(N17=$R17,$N$6,IF(P17=$R17,$P$6,"")))))</f>
        <v/>
      </c>
      <c r="T17" s="4" t="str">
        <f>IF(OR($R17="",$E17=""),"",$E17*$R17)</f>
        <v/>
      </c>
      <c r="U17" s="6" t="str">
        <f>IF(OR($F17="",$F17=0,$R17=""),"",$R17/$F17-1)</f>
        <v/>
      </c>
      <c r="V17" s="7"/>
    </row>
    <row r="18" spans="1:22" x14ac:dyDescent="0.25">
      <c r="A18" s="5">
        <v>15</v>
      </c>
      <c r="B18" s="7"/>
      <c r="C18" s="7"/>
      <c r="D18" s="8"/>
      <c r="E18" s="8"/>
      <c r="F18" s="9"/>
      <c r="G18" s="4" t="str">
        <f>IF(OR($E18="",$F18=""),"",$E18*$F18)</f>
        <v/>
      </c>
      <c r="H18" s="9"/>
      <c r="I18" s="4" t="str">
        <f>IF(OR($E18="",H18=""),"",$E18*H18)</f>
        <v/>
      </c>
      <c r="J18" s="9"/>
      <c r="K18" s="4" t="str">
        <f>IF(OR($E18="",J18=""),"",$E18*J18)</f>
        <v/>
      </c>
      <c r="L18" s="9"/>
      <c r="M18" s="4" t="str">
        <f>IF(OR($E18="",L18=""),"",$E18*L18)</f>
        <v/>
      </c>
      <c r="N18" s="9"/>
      <c r="O18" s="4" t="str">
        <f>IF(OR($E18="",N18=""),"",$E18*N18)</f>
        <v/>
      </c>
      <c r="P18" s="9"/>
      <c r="Q18" s="4" t="str">
        <f>IF(OR($E18="",P18=""),"",$E18*P18)</f>
        <v/>
      </c>
      <c r="R18" s="10" t="str">
        <f>IF(MIN(IF(J18=0,9.9E+30,J18),IF(L18=0,9.9E+30,L18),IF(N18=0,9.9E+30,N18),IF(P18=0,9.9E+30,P18))&gt;9E+30,"",MIN(IF(J18=0,9.9E+30,J18),IF(L18=0,9.9E+30,L18),IF(N18=0,9.9E+30,N18),IF(P18=0,9.9E+30,P18)))</f>
        <v/>
      </c>
      <c r="S18" s="5" t="str">
        <f>IF($R18="","",IF(J18=$R18,$J$6,IF(L18=$R18,$L$6,IF(N18=$R18,$N$6,IF(P18=$R18,$P$6,"")))))</f>
        <v/>
      </c>
      <c r="T18" s="4" t="str">
        <f>IF(OR($R18="",$E18=""),"",$E18*$R18)</f>
        <v/>
      </c>
      <c r="U18" s="6" t="str">
        <f>IF(OR($F18="",$F18=0,$R18=""),"",$R18/$F18-1)</f>
        <v/>
      </c>
      <c r="V18" s="7"/>
    </row>
    <row r="19" spans="1:22" x14ac:dyDescent="0.25">
      <c r="A19" s="5">
        <v>16</v>
      </c>
      <c r="B19" s="7"/>
      <c r="C19" s="7"/>
      <c r="D19" s="8"/>
      <c r="E19" s="8"/>
      <c r="F19" s="9"/>
      <c r="G19" s="4" t="str">
        <f>IF(OR($E19="",$F19=""),"",$E19*$F19)</f>
        <v/>
      </c>
      <c r="H19" s="9"/>
      <c r="I19" s="4" t="str">
        <f>IF(OR($E19="",H19=""),"",$E19*H19)</f>
        <v/>
      </c>
      <c r="J19" s="9"/>
      <c r="K19" s="4" t="str">
        <f>IF(OR($E19="",J19=""),"",$E19*J19)</f>
        <v/>
      </c>
      <c r="L19" s="9"/>
      <c r="M19" s="4" t="str">
        <f>IF(OR($E19="",L19=""),"",$E19*L19)</f>
        <v/>
      </c>
      <c r="N19" s="9"/>
      <c r="O19" s="4" t="str">
        <f>IF(OR($E19="",N19=""),"",$E19*N19)</f>
        <v/>
      </c>
      <c r="P19" s="9"/>
      <c r="Q19" s="4" t="str">
        <f>IF(OR($E19="",P19=""),"",$E19*P19)</f>
        <v/>
      </c>
      <c r="R19" s="10" t="str">
        <f>IF(MIN(IF(J19=0,9.9E+30,J19),IF(L19=0,9.9E+30,L19),IF(N19=0,9.9E+30,N19),IF(P19=0,9.9E+30,P19))&gt;9E+30,"",MIN(IF(J19=0,9.9E+30,J19),IF(L19=0,9.9E+30,L19),IF(N19=0,9.9E+30,N19),IF(P19=0,9.9E+30,P19)))</f>
        <v/>
      </c>
      <c r="S19" s="5" t="str">
        <f>IF($R19="","",IF(J19=$R19,$J$6,IF(L19=$R19,$L$6,IF(N19=$R19,$N$6,IF(P19=$R19,$P$6,"")))))</f>
        <v/>
      </c>
      <c r="T19" s="4" t="str">
        <f>IF(OR($R19="",$E19=""),"",$E19*$R19)</f>
        <v/>
      </c>
      <c r="U19" s="6" t="str">
        <f>IF(OR($F19="",$F19=0,$R19=""),"",$R19/$F19-1)</f>
        <v/>
      </c>
      <c r="V19" s="7"/>
    </row>
    <row r="20" spans="1:22" ht="15.75" thickBot="1" x14ac:dyDescent="0.3">
      <c r="A20" s="5">
        <v>17</v>
      </c>
      <c r="B20" s="7"/>
      <c r="C20" s="7"/>
      <c r="D20" s="8"/>
      <c r="E20" s="8"/>
      <c r="F20" s="9"/>
      <c r="G20" s="4" t="str">
        <f>IF(OR($E20="",$F20=""),"",$E20*$F20)</f>
        <v/>
      </c>
      <c r="H20" s="9"/>
      <c r="I20" s="4" t="str">
        <f>IF(OR($E20="",H20=""),"",$E20*H20)</f>
        <v/>
      </c>
      <c r="J20" s="9"/>
      <c r="K20" s="4" t="str">
        <f>IF(OR($E20="",J20=""),"",$E20*J20)</f>
        <v/>
      </c>
      <c r="L20" s="9"/>
      <c r="M20" s="4" t="str">
        <f>IF(OR($E20="",L20=""),"",$E20*L20)</f>
        <v/>
      </c>
      <c r="N20" s="9"/>
      <c r="O20" s="4" t="str">
        <f>IF(OR($E20="",N20=""),"",$E20*N20)</f>
        <v/>
      </c>
      <c r="P20" s="9"/>
      <c r="Q20" s="4" t="str">
        <f>IF(OR($E20="",P20=""),"",$E20*P20)</f>
        <v/>
      </c>
      <c r="R20" s="10" t="str">
        <f>IF(MIN(IF(J20=0,9.9E+30,J20),IF(L20=0,9.9E+30,L20),IF(N20=0,9.9E+30,N20),IF(P20=0,9.9E+30,P20))&gt;9E+30,"",MIN(IF(J20=0,9.9E+30,J20),IF(L20=0,9.9E+30,L20),IF(N20=0,9.9E+30,N20),IF(P20=0,9.9E+30,P20)))</f>
        <v/>
      </c>
      <c r="S20" s="5" t="str">
        <f>IF($R20="","",IF(J20=$R20,$J$6,IF(L20=$R20,$L$6,IF(N20=$R20,$N$6,IF(P20=$R20,$P$6,"")))))</f>
        <v/>
      </c>
      <c r="T20" s="4" t="str">
        <f>IF(OR($R20="",$E20=""),"",$E20*$R20)</f>
        <v/>
      </c>
      <c r="U20" s="6" t="str">
        <f>IF(OR($F20="",$F20=0,$R20=""),"",$R20/$F20-1)</f>
        <v/>
      </c>
      <c r="V20" s="7"/>
    </row>
    <row r="21" spans="1:22" x14ac:dyDescent="0.25">
      <c r="A21" s="67" t="s">
        <v>40</v>
      </c>
      <c r="B21" s="67"/>
      <c r="C21" s="67"/>
      <c r="D21" s="67"/>
      <c r="E21" s="67"/>
      <c r="F21" s="67"/>
      <c r="G21" s="11">
        <f>SUM(G17:G20)</f>
        <v>0</v>
      </c>
      <c r="H21" s="1"/>
      <c r="I21" s="11">
        <f>SUM(I17:I20)</f>
        <v>0</v>
      </c>
      <c r="J21" s="12"/>
      <c r="K21" s="11">
        <f>SUM(K17:K20)</f>
        <v>0</v>
      </c>
      <c r="L21" s="12"/>
      <c r="M21" s="11">
        <f>SUM(M17:M20)</f>
        <v>0</v>
      </c>
      <c r="N21" s="12"/>
      <c r="O21" s="11">
        <f>SUM(O17:O20)</f>
        <v>0</v>
      </c>
      <c r="P21" s="12"/>
      <c r="Q21" s="11">
        <f>SUM(Q17:Q20)</f>
        <v>0</v>
      </c>
      <c r="R21" s="12"/>
      <c r="S21" s="12"/>
      <c r="T21" s="11">
        <f>SUM(T17:T20)</f>
        <v>0</v>
      </c>
      <c r="U21" s="12"/>
      <c r="V21" s="12"/>
    </row>
  </sheetData>
  <mergeCells count="28">
    <mergeCell ref="R14:U14"/>
    <mergeCell ref="A16:V16"/>
    <mergeCell ref="A21:F21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6:J21">
    <cfRule type="expression" dxfId="79" priority="1">
      <formula>AND(J16&lt;&gt;"",J16=$R16)</formula>
    </cfRule>
    <cfRule type="expression" dxfId="78" priority="2">
      <formula>AND($E16&lt;&gt;"",J16="")</formula>
    </cfRule>
  </conditionalFormatting>
  <conditionalFormatting sqref="L16:L21">
    <cfRule type="expression" dxfId="77" priority="3">
      <formula>AND(L16&lt;&gt;"",L16=$R16)</formula>
    </cfRule>
    <cfRule type="expression" dxfId="76" priority="4">
      <formula>AND($E16&lt;&gt;"",L16="")</formula>
    </cfRule>
  </conditionalFormatting>
  <conditionalFormatting sqref="N16:N21">
    <cfRule type="expression" dxfId="75" priority="5">
      <formula>AND(N16&lt;&gt;"",N16=$R16)</formula>
    </cfRule>
    <cfRule type="expression" dxfId="74" priority="6">
      <formula>AND($E16&lt;&gt;"",N16="")</formula>
    </cfRule>
  </conditionalFormatting>
  <conditionalFormatting sqref="P16:P21">
    <cfRule type="expression" dxfId="73" priority="7">
      <formula>AND(P16&lt;&gt;"",P16=$R16)</formula>
    </cfRule>
    <cfRule type="expression" dxfId="72" priority="8">
      <formula>AND($E16&lt;&gt;"",P16="")</formula>
    </cfRule>
  </conditionalFormatting>
  <dataValidations count="2">
    <dataValidation type="list" allowBlank="1" sqref="D16:D21" xr:uid="{A21EB4F5-A67A-E04E-870A-6943FF80DC85}">
      <formula1>"Nos,Sqft,Sqm,Rft,Rmt,Kg,Ltr,Set,Cum,Job,LS"</formula1>
      <formula2>0</formula2>
    </dataValidation>
    <dataValidation type="list" allowBlank="1" showInputMessage="1" showErrorMessage="1" sqref="C13:D13" xr:uid="{519F8473-D855-5E41-A541-C4B8AA878B5A}">
      <formula1>$Y$1:$Y$3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590-F5DF-7D46-BF67-5EF745FD7ACB}">
  <sheetPr>
    <tabColor rgb="FF173B2E"/>
  </sheetPr>
  <dimension ref="A1:Y21"/>
  <sheetViews>
    <sheetView workbookViewId="0">
      <selection activeCell="G21" sqref="G21"/>
    </sheetView>
  </sheetViews>
  <sheetFormatPr defaultColWidth="11.42578125" defaultRowHeight="15" x14ac:dyDescent="0.25"/>
  <sheetData>
    <row r="1" spans="1:25" ht="18.75" thickBot="1" x14ac:dyDescent="0.3">
      <c r="A1" s="37" t="s">
        <v>108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Y1" s="33" t="str">
        <f>J6</f>
        <v>Vendor 1 — name</v>
      </c>
    </row>
    <row r="2" spans="1:25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Y2" s="33" t="str">
        <f>L6</f>
        <v>Vendor 2 — name</v>
      </c>
    </row>
    <row r="3" spans="1:25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Y3" s="33" t="str">
        <f>N6</f>
        <v>Vendor 3 — name</v>
      </c>
    </row>
    <row r="5" spans="1:25" x14ac:dyDescent="0.25">
      <c r="A5" s="45" t="s">
        <v>109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5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5" x14ac:dyDescent="0.25">
      <c r="A7" s="44" t="s">
        <v>146</v>
      </c>
      <c r="B7" s="44"/>
      <c r="C7" s="44"/>
      <c r="D7" s="44"/>
      <c r="E7" s="44"/>
      <c r="F7" s="44"/>
      <c r="G7" s="4">
        <f>G21</f>
        <v>0</v>
      </c>
      <c r="H7" s="30"/>
      <c r="I7" s="4">
        <f>I21</f>
        <v>0</v>
      </c>
      <c r="K7" s="4">
        <f>K21</f>
        <v>0</v>
      </c>
      <c r="M7" s="4">
        <f>M21</f>
        <v>0</v>
      </c>
      <c r="O7" s="4">
        <f>O21</f>
        <v>0</v>
      </c>
      <c r="Q7" s="4">
        <f>Q21</f>
        <v>0</v>
      </c>
    </row>
    <row r="8" spans="1:25" x14ac:dyDescent="0.25">
      <c r="A8" s="54" t="s">
        <v>147</v>
      </c>
      <c r="B8" s="54"/>
      <c r="C8" s="54"/>
      <c r="D8" s="54"/>
      <c r="E8" s="54"/>
      <c r="F8" s="54"/>
      <c r="G8" s="14">
        <f>G7</f>
        <v>0</v>
      </c>
      <c r="H8" s="31"/>
      <c r="I8" s="14">
        <f>I7</f>
        <v>0</v>
      </c>
      <c r="K8" s="14">
        <f>K7</f>
        <v>0</v>
      </c>
      <c r="M8" s="14">
        <f>M7</f>
        <v>0</v>
      </c>
      <c r="O8" s="14">
        <f>O7</f>
        <v>0</v>
      </c>
      <c r="Q8" s="14">
        <f>Q7</f>
        <v>0</v>
      </c>
    </row>
    <row r="9" spans="1:25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4" t="str">
        <f>IF(I8=0,"",I8-$G$8)</f>
        <v/>
      </c>
      <c r="K9" s="4" t="str">
        <f>IF(K8=0,"",K8-$G$8)</f>
        <v/>
      </c>
      <c r="M9" s="4" t="str">
        <f>IF(M8=0,"",M8-$G$8)</f>
        <v/>
      </c>
      <c r="O9" s="4" t="str">
        <f>IF(O8=0,"",O8-$G$8)</f>
        <v/>
      </c>
      <c r="Q9" s="4" t="str">
        <f>IF(Q8=0,"",Q8-$G$8)</f>
        <v/>
      </c>
    </row>
    <row r="10" spans="1:25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6" t="str">
        <f>IF(OR(I8=0,$G$8=0),"",I8/$G$8-1)</f>
        <v/>
      </c>
      <c r="K10" s="6" t="str">
        <f>IF(OR(K8=0,$G$8=0),"",K8/$G$8-1)</f>
        <v/>
      </c>
      <c r="M10" s="6" t="str">
        <f>IF(OR(M8=0,$G$8=0),"",M8/$G$8-1)</f>
        <v/>
      </c>
      <c r="O10" s="6" t="str">
        <f>IF(OR(O8=0,$G$8=0),"",O8/$G$8-1)</f>
        <v/>
      </c>
      <c r="Q10" s="6" t="str">
        <f>IF(OR(Q8=0,$G$8=0),"",Q8/$G$8-1)</f>
        <v/>
      </c>
    </row>
    <row r="11" spans="1:25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5" t="s">
        <v>13</v>
      </c>
      <c r="K11" s="5" t="str">
        <f>IF(K8=0,"",1+IF(AND(M8&gt;0,M8&lt;K8),1,0)+IF(AND(O8&gt;0,O8&lt;K8),1,0)+IF(AND(Q8&gt;0,Q8&lt;K8),1,0))</f>
        <v/>
      </c>
      <c r="M11" s="5" t="str">
        <f>IF(M8=0,"",1+IF(AND(K8&gt;0,K8&lt;M8),1,0)+IF(AND(O8&gt;0,O8&lt;M8),1,0)+IF(AND(Q8&gt;0,Q8&lt;M8),1,0))</f>
        <v/>
      </c>
      <c r="O11" s="5" t="str">
        <f>IF(O8=0,"",1+IF(AND(K8&gt;0,K8&lt;O8),1,0)+IF(AND(M8&gt;0,M8&lt;O8),1,0)+IF(AND(Q8&gt;0,Q8&lt;O8),1,0))</f>
        <v/>
      </c>
      <c r="Q11" s="5" t="str">
        <f>IF(Q8=0,"",1+IF(AND(K8&gt;0,K8&lt;Q8),1,0)+IF(AND(M8&gt;0,M8&lt;Q8),1,0)+IF(AND(O8&gt;0,O8&lt;Q8),1,0))</f>
        <v/>
      </c>
    </row>
    <row r="12" spans="1:25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5" t="str">
        <f>IF(I8=0,"",COUNT($E$17:$E$20)-COUNT(H17:H20))</f>
        <v/>
      </c>
      <c r="K12" s="5" t="str">
        <f>IF(K8=0,"",COUNT($E$17:$E$20)-COUNT(J17:J20))</f>
        <v/>
      </c>
      <c r="M12" s="5" t="str">
        <f>IF(M8=0,"",COUNT($E$17:$E$20)-COUNT(L17:L20))</f>
        <v/>
      </c>
      <c r="O12" s="5" t="str">
        <f>IF(O8=0,"",COUNT($E$17:$E$20)-COUNT(N17:N20))</f>
        <v/>
      </c>
      <c r="Q12" s="5" t="str">
        <f>IF(Q8=0,"",COUNT($E$17:$E$20)-COUNT(P17:P20))</f>
        <v/>
      </c>
    </row>
    <row r="13" spans="1:25" x14ac:dyDescent="0.25">
      <c r="A13" s="34" t="s">
        <v>140</v>
      </c>
      <c r="C13" s="53"/>
      <c r="D13" s="53"/>
      <c r="F13" s="35" t="s">
        <v>150</v>
      </c>
      <c r="H13" s="36" t="str">
        <f>IF($C13="","",IF($C13=J6,K7,IF($C13=L6,M7,IF($C13=N6,O7,IF($C13=P6,Q7,"")))))</f>
        <v/>
      </c>
    </row>
    <row r="14" spans="1:25" x14ac:dyDescent="0.25">
      <c r="A14" s="48" t="s">
        <v>110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48"/>
      <c r="R14" s="48" t="s">
        <v>17</v>
      </c>
      <c r="S14" s="48"/>
      <c r="T14" s="48"/>
      <c r="U14" s="48"/>
      <c r="V14" s="13" t="s">
        <v>18</v>
      </c>
    </row>
    <row r="15" spans="1:25" ht="38.2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5" x14ac:dyDescent="0.25">
      <c r="A16" s="68" t="s">
        <v>41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 x14ac:dyDescent="0.25">
      <c r="A17" s="5">
        <v>18</v>
      </c>
      <c r="B17" s="7"/>
      <c r="C17" s="7"/>
      <c r="D17" s="8"/>
      <c r="E17" s="8"/>
      <c r="F17" s="9"/>
      <c r="G17" s="4" t="str">
        <f>IF(OR($E17="",$F17=""),"",$E17*$F17)</f>
        <v/>
      </c>
      <c r="H17" s="9"/>
      <c r="I17" s="4" t="str">
        <f>IF(OR($E17="",H17=""),"",$E17*H17)</f>
        <v/>
      </c>
      <c r="J17" s="9"/>
      <c r="K17" s="4" t="str">
        <f>IF(OR($E17="",J17=""),"",$E17*J17)</f>
        <v/>
      </c>
      <c r="L17" s="9"/>
      <c r="M17" s="4" t="str">
        <f>IF(OR($E17="",L17=""),"",$E17*L17)</f>
        <v/>
      </c>
      <c r="N17" s="9"/>
      <c r="O17" s="4" t="str">
        <f>IF(OR($E17="",N17=""),"",$E17*N17)</f>
        <v/>
      </c>
      <c r="P17" s="9"/>
      <c r="Q17" s="4" t="str">
        <f>IF(OR($E17="",P17=""),"",$E17*P17)</f>
        <v/>
      </c>
      <c r="R17" s="10" t="str">
        <f>IF(MIN(IF(J17=0,9.9E+30,J17),IF(L17=0,9.9E+30,L17),IF(N17=0,9.9E+30,N17),IF(P17=0,9.9E+30,P17))&gt;9E+30,"",MIN(IF(J17=0,9.9E+30,J17),IF(L17=0,9.9E+30,L17),IF(N17=0,9.9E+30,N17),IF(P17=0,9.9E+30,P17)))</f>
        <v/>
      </c>
      <c r="S17" s="5" t="str">
        <f>IF($R17="","",IF(J17=$R17,$J$6,IF(L17=$R17,$L$6,IF(N17=$R17,$N$6,IF(P17=$R17,$P$6,"")))))</f>
        <v/>
      </c>
      <c r="T17" s="4" t="str">
        <f>IF(OR($R17="",$E17=""),"",$E17*$R17)</f>
        <v/>
      </c>
      <c r="U17" s="6" t="str">
        <f>IF(OR($F17="",$F17=0,$R17=""),"",$R17/$F17-1)</f>
        <v/>
      </c>
      <c r="V17" s="7"/>
    </row>
    <row r="18" spans="1:22" x14ac:dyDescent="0.25">
      <c r="A18" s="5">
        <v>19</v>
      </c>
      <c r="B18" s="7"/>
      <c r="C18" s="7"/>
      <c r="D18" s="8"/>
      <c r="E18" s="8"/>
      <c r="F18" s="9"/>
      <c r="G18" s="4" t="str">
        <f>IF(OR($E18="",$F18=""),"",$E18*$F18)</f>
        <v/>
      </c>
      <c r="H18" s="9"/>
      <c r="I18" s="4" t="str">
        <f>IF(OR($E18="",H18=""),"",$E18*H18)</f>
        <v/>
      </c>
      <c r="J18" s="9"/>
      <c r="K18" s="4" t="str">
        <f>IF(OR($E18="",J18=""),"",$E18*J18)</f>
        <v/>
      </c>
      <c r="L18" s="9"/>
      <c r="M18" s="4" t="str">
        <f>IF(OR($E18="",L18=""),"",$E18*L18)</f>
        <v/>
      </c>
      <c r="N18" s="9"/>
      <c r="O18" s="4" t="str">
        <f>IF(OR($E18="",N18=""),"",$E18*N18)</f>
        <v/>
      </c>
      <c r="P18" s="9"/>
      <c r="Q18" s="4" t="str">
        <f>IF(OR($E18="",P18=""),"",$E18*P18)</f>
        <v/>
      </c>
      <c r="R18" s="10" t="str">
        <f>IF(MIN(IF(J18=0,9.9E+30,J18),IF(L18=0,9.9E+30,L18),IF(N18=0,9.9E+30,N18),IF(P18=0,9.9E+30,P18))&gt;9E+30,"",MIN(IF(J18=0,9.9E+30,J18),IF(L18=0,9.9E+30,L18),IF(N18=0,9.9E+30,N18),IF(P18=0,9.9E+30,P18)))</f>
        <v/>
      </c>
      <c r="S18" s="5" t="str">
        <f>IF($R18="","",IF(J18=$R18,$J$6,IF(L18=$R18,$L$6,IF(N18=$R18,$N$6,IF(P18=$R18,$P$6,"")))))</f>
        <v/>
      </c>
      <c r="T18" s="4" t="str">
        <f>IF(OR($R18="",$E18=""),"",$E18*$R18)</f>
        <v/>
      </c>
      <c r="U18" s="6" t="str">
        <f>IF(OR($F18="",$F18=0,$R18=""),"",$R18/$F18-1)</f>
        <v/>
      </c>
      <c r="V18" s="7"/>
    </row>
    <row r="19" spans="1:22" x14ac:dyDescent="0.25">
      <c r="A19" s="5">
        <v>20</v>
      </c>
      <c r="B19" s="7"/>
      <c r="C19" s="7"/>
      <c r="D19" s="8"/>
      <c r="E19" s="8"/>
      <c r="F19" s="9"/>
      <c r="G19" s="4" t="str">
        <f>IF(OR($E19="",$F19=""),"",$E19*$F19)</f>
        <v/>
      </c>
      <c r="H19" s="9"/>
      <c r="I19" s="4" t="str">
        <f>IF(OR($E19="",H19=""),"",$E19*H19)</f>
        <v/>
      </c>
      <c r="J19" s="9"/>
      <c r="K19" s="4" t="str">
        <f>IF(OR($E19="",J19=""),"",$E19*J19)</f>
        <v/>
      </c>
      <c r="L19" s="9"/>
      <c r="M19" s="4" t="str">
        <f>IF(OR($E19="",L19=""),"",$E19*L19)</f>
        <v/>
      </c>
      <c r="N19" s="9"/>
      <c r="O19" s="4" t="str">
        <f>IF(OR($E19="",N19=""),"",$E19*N19)</f>
        <v/>
      </c>
      <c r="P19" s="9"/>
      <c r="Q19" s="4" t="str">
        <f>IF(OR($E19="",P19=""),"",$E19*P19)</f>
        <v/>
      </c>
      <c r="R19" s="10" t="str">
        <f>IF(MIN(IF(J19=0,9.9E+30,J19),IF(L19=0,9.9E+30,L19),IF(N19=0,9.9E+30,N19),IF(P19=0,9.9E+30,P19))&gt;9E+30,"",MIN(IF(J19=0,9.9E+30,J19),IF(L19=0,9.9E+30,L19),IF(N19=0,9.9E+30,N19),IF(P19=0,9.9E+30,P19)))</f>
        <v/>
      </c>
      <c r="S19" s="5" t="str">
        <f>IF($R19="","",IF(J19=$R19,$J$6,IF(L19=$R19,$L$6,IF(N19=$R19,$N$6,IF(P19=$R19,$P$6,"")))))</f>
        <v/>
      </c>
      <c r="T19" s="4" t="str">
        <f>IF(OR($R19="",$E19=""),"",$E19*$R19)</f>
        <v/>
      </c>
      <c r="U19" s="6" t="str">
        <f>IF(OR($F19="",$F19=0,$R19=""),"",$R19/$F19-1)</f>
        <v/>
      </c>
      <c r="V19" s="7"/>
    </row>
    <row r="20" spans="1:22" ht="15.75" thickBot="1" x14ac:dyDescent="0.3">
      <c r="A20" s="5">
        <v>21</v>
      </c>
      <c r="B20" s="7"/>
      <c r="C20" s="7"/>
      <c r="D20" s="8"/>
      <c r="E20" s="8"/>
      <c r="F20" s="9"/>
      <c r="G20" s="4" t="str">
        <f>IF(OR($E20="",$F20=""),"",$E20*$F20)</f>
        <v/>
      </c>
      <c r="H20" s="9"/>
      <c r="I20" s="4" t="str">
        <f>IF(OR($E20="",H20=""),"",$E20*H20)</f>
        <v/>
      </c>
      <c r="J20" s="9"/>
      <c r="K20" s="4" t="str">
        <f>IF(OR($E20="",J20=""),"",$E20*J20)</f>
        <v/>
      </c>
      <c r="L20" s="9"/>
      <c r="M20" s="4" t="str">
        <f>IF(OR($E20="",L20=""),"",$E20*L20)</f>
        <v/>
      </c>
      <c r="N20" s="9"/>
      <c r="O20" s="4" t="str">
        <f>IF(OR($E20="",N20=""),"",$E20*N20)</f>
        <v/>
      </c>
      <c r="P20" s="9"/>
      <c r="Q20" s="4" t="str">
        <f>IF(OR($E20="",P20=""),"",$E20*P20)</f>
        <v/>
      </c>
      <c r="R20" s="10" t="str">
        <f>IF(MIN(IF(J20=0,9.9E+30,J20),IF(L20=0,9.9E+30,L20),IF(N20=0,9.9E+30,N20),IF(P20=0,9.9E+30,P20))&gt;9E+30,"",MIN(IF(J20=0,9.9E+30,J20),IF(L20=0,9.9E+30,L20),IF(N20=0,9.9E+30,N20),IF(P20=0,9.9E+30,P20)))</f>
        <v/>
      </c>
      <c r="S20" s="5" t="str">
        <f>IF($R20="","",IF(J20=$R20,$J$6,IF(L20=$R20,$L$6,IF(N20=$R20,$N$6,IF(P20=$R20,$P$6,"")))))</f>
        <v/>
      </c>
      <c r="T20" s="4" t="str">
        <f>IF(OR($R20="",$E20=""),"",$E20*$R20)</f>
        <v/>
      </c>
      <c r="U20" s="6" t="str">
        <f>IF(OR($F20="",$F20=0,$R20=""),"",$R20/$F20-1)</f>
        <v/>
      </c>
      <c r="V20" s="7"/>
    </row>
    <row r="21" spans="1:22" x14ac:dyDescent="0.25">
      <c r="A21" s="67" t="s">
        <v>42</v>
      </c>
      <c r="B21" s="67"/>
      <c r="C21" s="67"/>
      <c r="D21" s="67"/>
      <c r="E21" s="67"/>
      <c r="F21" s="67"/>
      <c r="G21" s="11">
        <f>SUM(G17:G20)</f>
        <v>0</v>
      </c>
      <c r="H21" s="1"/>
      <c r="I21" s="11">
        <f>SUM(I17:I20)</f>
        <v>0</v>
      </c>
      <c r="J21" s="12"/>
      <c r="K21" s="11">
        <f>SUM(K17:K20)</f>
        <v>0</v>
      </c>
      <c r="L21" s="12"/>
      <c r="M21" s="11">
        <f>SUM(M17:M20)</f>
        <v>0</v>
      </c>
      <c r="N21" s="12"/>
      <c r="O21" s="11">
        <f>SUM(O17:O20)</f>
        <v>0</v>
      </c>
      <c r="P21" s="12"/>
      <c r="Q21" s="11">
        <f>SUM(Q17:Q20)</f>
        <v>0</v>
      </c>
      <c r="R21" s="12"/>
      <c r="S21" s="12"/>
      <c r="T21" s="11">
        <f>SUM(T17:T20)</f>
        <v>0</v>
      </c>
      <c r="U21" s="12"/>
      <c r="V21" s="12"/>
    </row>
  </sheetData>
  <mergeCells count="28">
    <mergeCell ref="R14:U14"/>
    <mergeCell ref="A16:V16"/>
    <mergeCell ref="A21:F21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6:J21">
    <cfRule type="expression" dxfId="71" priority="1">
      <formula>AND(J16&lt;&gt;"",J16=$R16)</formula>
    </cfRule>
    <cfRule type="expression" dxfId="70" priority="2">
      <formula>AND($E16&lt;&gt;"",J16="")</formula>
    </cfRule>
  </conditionalFormatting>
  <conditionalFormatting sqref="L16:L21">
    <cfRule type="expression" dxfId="69" priority="3">
      <formula>AND(L16&lt;&gt;"",L16=$R16)</formula>
    </cfRule>
    <cfRule type="expression" dxfId="68" priority="4">
      <formula>AND($E16&lt;&gt;"",L16="")</formula>
    </cfRule>
  </conditionalFormatting>
  <conditionalFormatting sqref="N16:N21">
    <cfRule type="expression" dxfId="67" priority="5">
      <formula>AND(N16&lt;&gt;"",N16=$R16)</formula>
    </cfRule>
    <cfRule type="expression" dxfId="66" priority="6">
      <formula>AND($E16&lt;&gt;"",N16="")</formula>
    </cfRule>
  </conditionalFormatting>
  <conditionalFormatting sqref="P16:P21">
    <cfRule type="expression" dxfId="65" priority="7">
      <formula>AND(P16&lt;&gt;"",P16=$R16)</formula>
    </cfRule>
    <cfRule type="expression" dxfId="64" priority="8">
      <formula>AND($E16&lt;&gt;"",P16="")</formula>
    </cfRule>
  </conditionalFormatting>
  <dataValidations count="2">
    <dataValidation type="list" allowBlank="1" sqref="D16:D21" xr:uid="{9491CD68-29F2-494D-AA1A-8118ED00500D}">
      <formula1>"Nos,Sqft,Sqm,Rft,Rmt,Kg,Ltr,Set,Cum,Job,LS"</formula1>
      <formula2>0</formula2>
    </dataValidation>
    <dataValidation type="list" allowBlank="1" showInputMessage="1" showErrorMessage="1" sqref="C13:D13" xr:uid="{3FDC7AA9-80B4-6C4B-AE46-5EB2723DB699}">
      <formula1>$Y$1:$Y$3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0F0D-76D0-9D4E-9568-E753E865BB29}">
  <sheetPr>
    <tabColor rgb="FF173B2E"/>
  </sheetPr>
  <dimension ref="A1:Y21"/>
  <sheetViews>
    <sheetView workbookViewId="0">
      <selection activeCell="H7" sqref="H7:I7"/>
    </sheetView>
  </sheetViews>
  <sheetFormatPr defaultColWidth="11.42578125" defaultRowHeight="15" x14ac:dyDescent="0.25"/>
  <sheetData>
    <row r="1" spans="1:25" ht="18.75" thickBot="1" x14ac:dyDescent="0.3">
      <c r="A1" s="37" t="s">
        <v>111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Y1" s="33" t="str">
        <f>J6</f>
        <v>Vendor 1 — name</v>
      </c>
    </row>
    <row r="2" spans="1:25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Y2" s="33" t="str">
        <f>L6</f>
        <v>Vendor 2 — name</v>
      </c>
    </row>
    <row r="3" spans="1:25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Y3" s="33" t="str">
        <f>N6</f>
        <v>Vendor 3 — name</v>
      </c>
    </row>
    <row r="5" spans="1:25" x14ac:dyDescent="0.25">
      <c r="A5" s="45" t="s">
        <v>112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5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5" x14ac:dyDescent="0.25">
      <c r="A7" s="44" t="s">
        <v>146</v>
      </c>
      <c r="B7" s="44"/>
      <c r="C7" s="44"/>
      <c r="D7" s="44"/>
      <c r="E7" s="44"/>
      <c r="F7" s="44"/>
      <c r="G7" s="4">
        <f>G21</f>
        <v>0</v>
      </c>
      <c r="H7" s="30"/>
      <c r="I7" s="4">
        <f>I21</f>
        <v>0</v>
      </c>
      <c r="K7" s="4">
        <f>K21</f>
        <v>0</v>
      </c>
      <c r="M7" s="4">
        <f>M21</f>
        <v>0</v>
      </c>
      <c r="O7" s="4">
        <f>O21</f>
        <v>0</v>
      </c>
      <c r="Q7" s="4">
        <f>Q21</f>
        <v>0</v>
      </c>
    </row>
    <row r="8" spans="1:25" x14ac:dyDescent="0.25">
      <c r="A8" s="54" t="s">
        <v>147</v>
      </c>
      <c r="B8" s="54"/>
      <c r="C8" s="54"/>
      <c r="D8" s="54"/>
      <c r="E8" s="54"/>
      <c r="F8" s="54"/>
      <c r="G8" s="14">
        <f>G7</f>
        <v>0</v>
      </c>
      <c r="H8" s="31"/>
      <c r="I8" s="14">
        <f>I7</f>
        <v>0</v>
      </c>
      <c r="K8" s="14">
        <f>K7</f>
        <v>0</v>
      </c>
      <c r="M8" s="14">
        <f>M7</f>
        <v>0</v>
      </c>
      <c r="O8" s="14">
        <f>O7</f>
        <v>0</v>
      </c>
      <c r="Q8" s="14">
        <f>Q7</f>
        <v>0</v>
      </c>
    </row>
    <row r="9" spans="1:25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4" t="str">
        <f>IF(I8=0,"",I8-$G$8)</f>
        <v/>
      </c>
      <c r="K9" s="4" t="str">
        <f>IF(K8=0,"",K8-$G$8)</f>
        <v/>
      </c>
      <c r="M9" s="4" t="str">
        <f>IF(M8=0,"",M8-$G$8)</f>
        <v/>
      </c>
      <c r="O9" s="4" t="str">
        <f>IF(O8=0,"",O8-$G$8)</f>
        <v/>
      </c>
      <c r="Q9" s="4" t="str">
        <f>IF(Q8=0,"",Q8-$G$8)</f>
        <v/>
      </c>
    </row>
    <row r="10" spans="1:25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6" t="str">
        <f>IF(OR(I8=0,$G$8=0),"",I8/$G$8-1)</f>
        <v/>
      </c>
      <c r="K10" s="6" t="str">
        <f>IF(OR(K8=0,$G$8=0),"",K8/$G$8-1)</f>
        <v/>
      </c>
      <c r="M10" s="6" t="str">
        <f>IF(OR(M8=0,$G$8=0),"",M8/$G$8-1)</f>
        <v/>
      </c>
      <c r="O10" s="6" t="str">
        <f>IF(OR(O8=0,$G$8=0),"",O8/$G$8-1)</f>
        <v/>
      </c>
      <c r="Q10" s="6" t="str">
        <f>IF(OR(Q8=0,$G$8=0),"",Q8/$G$8-1)</f>
        <v/>
      </c>
    </row>
    <row r="11" spans="1:25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5" t="s">
        <v>13</v>
      </c>
      <c r="K11" s="5" t="str">
        <f>IF(K8=0,"",1+IF(AND(M8&gt;0,M8&lt;K8),1,0)+IF(AND(O8&gt;0,O8&lt;K8),1,0)+IF(AND(Q8&gt;0,Q8&lt;K8),1,0))</f>
        <v/>
      </c>
      <c r="M11" s="5" t="str">
        <f>IF(M8=0,"",1+IF(AND(K8&gt;0,K8&lt;M8),1,0)+IF(AND(O8&gt;0,O8&lt;M8),1,0)+IF(AND(Q8&gt;0,Q8&lt;M8),1,0))</f>
        <v/>
      </c>
      <c r="O11" s="5" t="str">
        <f>IF(O8=0,"",1+IF(AND(K8&gt;0,K8&lt;O8),1,0)+IF(AND(M8&gt;0,M8&lt;O8),1,0)+IF(AND(Q8&gt;0,Q8&lt;O8),1,0))</f>
        <v/>
      </c>
      <c r="Q11" s="5" t="str">
        <f>IF(Q8=0,"",1+IF(AND(K8&gt;0,K8&lt;Q8),1,0)+IF(AND(M8&gt;0,M8&lt;Q8),1,0)+IF(AND(O8&gt;0,O8&lt;Q8),1,0))</f>
        <v/>
      </c>
    </row>
    <row r="12" spans="1:25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5" t="str">
        <f>IF(I8=0,"",COUNT($E$17:$E$20)-COUNT(H17:H20))</f>
        <v/>
      </c>
      <c r="K12" s="5" t="str">
        <f>IF(K8=0,"",COUNT($E$17:$E$20)-COUNT(J17:J20))</f>
        <v/>
      </c>
      <c r="M12" s="5" t="str">
        <f>IF(M8=0,"",COUNT($E$17:$E$20)-COUNT(L17:L20))</f>
        <v/>
      </c>
      <c r="O12" s="5" t="str">
        <f>IF(O8=0,"",COUNT($E$17:$E$20)-COUNT(N17:N20))</f>
        <v/>
      </c>
      <c r="Q12" s="5" t="str">
        <f>IF(Q8=0,"",COUNT($E$17:$E$20)-COUNT(P17:P20))</f>
        <v/>
      </c>
    </row>
    <row r="13" spans="1:25" x14ac:dyDescent="0.25">
      <c r="A13" s="34" t="s">
        <v>140</v>
      </c>
      <c r="C13" s="53"/>
      <c r="D13" s="53"/>
      <c r="F13" s="35" t="s">
        <v>150</v>
      </c>
      <c r="H13" s="36" t="str">
        <f>IF($C13="","",IF($C13=J6,K7,IF($C13=L6,M7,IF($C13=N6,O7,IF($C13=P6,Q7,"")))))</f>
        <v/>
      </c>
    </row>
    <row r="14" spans="1:25" x14ac:dyDescent="0.25">
      <c r="A14" s="48" t="s">
        <v>113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48"/>
      <c r="R14" s="48" t="s">
        <v>17</v>
      </c>
      <c r="S14" s="48"/>
      <c r="T14" s="48"/>
      <c r="U14" s="48"/>
      <c r="V14" s="13" t="s">
        <v>18</v>
      </c>
    </row>
    <row r="15" spans="1:25" ht="38.2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5" x14ac:dyDescent="0.25">
      <c r="A16" s="68" t="s">
        <v>43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 x14ac:dyDescent="0.25">
      <c r="A17" s="5">
        <v>22</v>
      </c>
      <c r="B17" s="7"/>
      <c r="C17" s="7"/>
      <c r="D17" s="8"/>
      <c r="E17" s="8"/>
      <c r="F17" s="9"/>
      <c r="G17" s="4" t="str">
        <f>IF(OR($E17="",$F17=""),"",$E17*$F17)</f>
        <v/>
      </c>
      <c r="H17" s="9"/>
      <c r="I17" s="4" t="str">
        <f>IF(OR($E17="",H17=""),"",$E17*H17)</f>
        <v/>
      </c>
      <c r="J17" s="9"/>
      <c r="K17" s="4" t="str">
        <f>IF(OR($E17="",J17=""),"",$E17*J17)</f>
        <v/>
      </c>
      <c r="L17" s="9"/>
      <c r="M17" s="4" t="str">
        <f>IF(OR($E17="",L17=""),"",$E17*L17)</f>
        <v/>
      </c>
      <c r="N17" s="9"/>
      <c r="O17" s="4" t="str">
        <f>IF(OR($E17="",N17=""),"",$E17*N17)</f>
        <v/>
      </c>
      <c r="P17" s="9"/>
      <c r="Q17" s="4" t="str">
        <f>IF(OR($E17="",P17=""),"",$E17*P17)</f>
        <v/>
      </c>
      <c r="R17" s="10" t="str">
        <f>IF(MIN(IF(J17=0,9.9E+30,J17),IF(L17=0,9.9E+30,L17),IF(N17=0,9.9E+30,N17),IF(P17=0,9.9E+30,P17))&gt;9E+30,"",MIN(IF(J17=0,9.9E+30,J17),IF(L17=0,9.9E+30,L17),IF(N17=0,9.9E+30,N17),IF(P17=0,9.9E+30,P17)))</f>
        <v/>
      </c>
      <c r="S17" s="5" t="str">
        <f>IF($R17="","",IF(J17=$R17,$J$6,IF(L17=$R17,$L$6,IF(N17=$R17,$N$6,IF(P17=$R17,$P$6,"")))))</f>
        <v/>
      </c>
      <c r="T17" s="4" t="str">
        <f>IF(OR($R17="",$E17=""),"",$E17*$R17)</f>
        <v/>
      </c>
      <c r="U17" s="6" t="str">
        <f>IF(OR($F17="",$F17=0,$R17=""),"",$R17/$F17-1)</f>
        <v/>
      </c>
      <c r="V17" s="7"/>
    </row>
    <row r="18" spans="1:22" x14ac:dyDescent="0.25">
      <c r="A18" s="5">
        <v>23</v>
      </c>
      <c r="B18" s="7"/>
      <c r="C18" s="7"/>
      <c r="D18" s="8"/>
      <c r="E18" s="8"/>
      <c r="F18" s="9"/>
      <c r="G18" s="4" t="str">
        <f>IF(OR($E18="",$F18=""),"",$E18*$F18)</f>
        <v/>
      </c>
      <c r="H18" s="9"/>
      <c r="I18" s="4" t="str">
        <f>IF(OR($E18="",H18=""),"",$E18*H18)</f>
        <v/>
      </c>
      <c r="J18" s="9"/>
      <c r="K18" s="4" t="str">
        <f>IF(OR($E18="",J18=""),"",$E18*J18)</f>
        <v/>
      </c>
      <c r="L18" s="9"/>
      <c r="M18" s="4" t="str">
        <f>IF(OR($E18="",L18=""),"",$E18*L18)</f>
        <v/>
      </c>
      <c r="N18" s="9"/>
      <c r="O18" s="4" t="str">
        <f>IF(OR($E18="",N18=""),"",$E18*N18)</f>
        <v/>
      </c>
      <c r="P18" s="9"/>
      <c r="Q18" s="4" t="str">
        <f>IF(OR($E18="",P18=""),"",$E18*P18)</f>
        <v/>
      </c>
      <c r="R18" s="10" t="str">
        <f>IF(MIN(IF(J18=0,9.9E+30,J18),IF(L18=0,9.9E+30,L18),IF(N18=0,9.9E+30,N18),IF(P18=0,9.9E+30,P18))&gt;9E+30,"",MIN(IF(J18=0,9.9E+30,J18),IF(L18=0,9.9E+30,L18),IF(N18=0,9.9E+30,N18),IF(P18=0,9.9E+30,P18)))</f>
        <v/>
      </c>
      <c r="S18" s="5" t="str">
        <f>IF($R18="","",IF(J18=$R18,$J$6,IF(L18=$R18,$L$6,IF(N18=$R18,$N$6,IF(P18=$R18,$P$6,"")))))</f>
        <v/>
      </c>
      <c r="T18" s="4" t="str">
        <f>IF(OR($R18="",$E18=""),"",$E18*$R18)</f>
        <v/>
      </c>
      <c r="U18" s="6" t="str">
        <f>IF(OR($F18="",$F18=0,$R18=""),"",$R18/$F18-1)</f>
        <v/>
      </c>
      <c r="V18" s="7"/>
    </row>
    <row r="19" spans="1:22" x14ac:dyDescent="0.25">
      <c r="A19" s="5">
        <v>24</v>
      </c>
      <c r="B19" s="7"/>
      <c r="C19" s="7"/>
      <c r="D19" s="8"/>
      <c r="E19" s="8"/>
      <c r="F19" s="9"/>
      <c r="G19" s="4" t="str">
        <f>IF(OR($E19="",$F19=""),"",$E19*$F19)</f>
        <v/>
      </c>
      <c r="H19" s="9"/>
      <c r="I19" s="4" t="str">
        <f>IF(OR($E19="",H19=""),"",$E19*H19)</f>
        <v/>
      </c>
      <c r="J19" s="9"/>
      <c r="K19" s="4" t="str">
        <f>IF(OR($E19="",J19=""),"",$E19*J19)</f>
        <v/>
      </c>
      <c r="L19" s="9"/>
      <c r="M19" s="4" t="str">
        <f>IF(OR($E19="",L19=""),"",$E19*L19)</f>
        <v/>
      </c>
      <c r="N19" s="9"/>
      <c r="O19" s="4" t="str">
        <f>IF(OR($E19="",N19=""),"",$E19*N19)</f>
        <v/>
      </c>
      <c r="P19" s="9"/>
      <c r="Q19" s="4" t="str">
        <f>IF(OR($E19="",P19=""),"",$E19*P19)</f>
        <v/>
      </c>
      <c r="R19" s="10" t="str">
        <f>IF(MIN(IF(J19=0,9.9E+30,J19),IF(L19=0,9.9E+30,L19),IF(N19=0,9.9E+30,N19),IF(P19=0,9.9E+30,P19))&gt;9E+30,"",MIN(IF(J19=0,9.9E+30,J19),IF(L19=0,9.9E+30,L19),IF(N19=0,9.9E+30,N19),IF(P19=0,9.9E+30,P19)))</f>
        <v/>
      </c>
      <c r="S19" s="5" t="str">
        <f>IF($R19="","",IF(J19=$R19,$J$6,IF(L19=$R19,$L$6,IF(N19=$R19,$N$6,IF(P19=$R19,$P$6,"")))))</f>
        <v/>
      </c>
      <c r="T19" s="4" t="str">
        <f>IF(OR($R19="",$E19=""),"",$E19*$R19)</f>
        <v/>
      </c>
      <c r="U19" s="6" t="str">
        <f>IF(OR($F19="",$F19=0,$R19=""),"",$R19/$F19-1)</f>
        <v/>
      </c>
      <c r="V19" s="7"/>
    </row>
    <row r="20" spans="1:22" ht="15.75" thickBot="1" x14ac:dyDescent="0.3">
      <c r="A20" s="5">
        <v>25</v>
      </c>
      <c r="B20" s="7"/>
      <c r="C20" s="7"/>
      <c r="D20" s="8"/>
      <c r="E20" s="8"/>
      <c r="F20" s="9"/>
      <c r="G20" s="4" t="str">
        <f>IF(OR($E20="",$F20=""),"",$E20*$F20)</f>
        <v/>
      </c>
      <c r="H20" s="9"/>
      <c r="I20" s="4" t="str">
        <f>IF(OR($E20="",H20=""),"",$E20*H20)</f>
        <v/>
      </c>
      <c r="J20" s="9"/>
      <c r="K20" s="4" t="str">
        <f>IF(OR($E20="",J20=""),"",$E20*J20)</f>
        <v/>
      </c>
      <c r="L20" s="9"/>
      <c r="M20" s="4" t="str">
        <f>IF(OR($E20="",L20=""),"",$E20*L20)</f>
        <v/>
      </c>
      <c r="N20" s="9"/>
      <c r="O20" s="4" t="str">
        <f>IF(OR($E20="",N20=""),"",$E20*N20)</f>
        <v/>
      </c>
      <c r="P20" s="9"/>
      <c r="Q20" s="4" t="str">
        <f>IF(OR($E20="",P20=""),"",$E20*P20)</f>
        <v/>
      </c>
      <c r="R20" s="10" t="str">
        <f>IF(MIN(IF(J20=0,9.9E+30,J20),IF(L20=0,9.9E+30,L20),IF(N20=0,9.9E+30,N20),IF(P20=0,9.9E+30,P20))&gt;9E+30,"",MIN(IF(J20=0,9.9E+30,J20),IF(L20=0,9.9E+30,L20),IF(N20=0,9.9E+30,N20),IF(P20=0,9.9E+30,P20)))</f>
        <v/>
      </c>
      <c r="S20" s="5" t="str">
        <f>IF($R20="","",IF(J20=$R20,$J$6,IF(L20=$R20,$L$6,IF(N20=$R20,$N$6,IF(P20=$R20,$P$6,"")))))</f>
        <v/>
      </c>
      <c r="T20" s="4" t="str">
        <f>IF(OR($R20="",$E20=""),"",$E20*$R20)</f>
        <v/>
      </c>
      <c r="U20" s="6" t="str">
        <f>IF(OR($F20="",$F20=0,$R20=""),"",$R20/$F20-1)</f>
        <v/>
      </c>
      <c r="V20" s="7"/>
    </row>
    <row r="21" spans="1:22" x14ac:dyDescent="0.25">
      <c r="A21" s="67" t="s">
        <v>44</v>
      </c>
      <c r="B21" s="67"/>
      <c r="C21" s="67"/>
      <c r="D21" s="67"/>
      <c r="E21" s="67"/>
      <c r="F21" s="67"/>
      <c r="G21" s="11">
        <f>SUM(G17:G20)</f>
        <v>0</v>
      </c>
      <c r="H21" s="1"/>
      <c r="I21" s="11">
        <f>SUM(I17:I20)</f>
        <v>0</v>
      </c>
      <c r="J21" s="12"/>
      <c r="K21" s="11">
        <f>SUM(K17:K20)</f>
        <v>0</v>
      </c>
      <c r="L21" s="12"/>
      <c r="M21" s="11">
        <f>SUM(M17:M20)</f>
        <v>0</v>
      </c>
      <c r="N21" s="12"/>
      <c r="O21" s="11">
        <f>SUM(O17:O20)</f>
        <v>0</v>
      </c>
      <c r="P21" s="12"/>
      <c r="Q21" s="11">
        <f>SUM(Q17:Q20)</f>
        <v>0</v>
      </c>
      <c r="R21" s="12"/>
      <c r="S21" s="12"/>
      <c r="T21" s="11">
        <f>SUM(T17:T20)</f>
        <v>0</v>
      </c>
      <c r="U21" s="12"/>
      <c r="V21" s="12"/>
    </row>
  </sheetData>
  <mergeCells count="28">
    <mergeCell ref="R14:U14"/>
    <mergeCell ref="A16:V16"/>
    <mergeCell ref="A21:F21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6:J21">
    <cfRule type="expression" dxfId="63" priority="1">
      <formula>AND(J16&lt;&gt;"",J16=$R16)</formula>
    </cfRule>
    <cfRule type="expression" dxfId="62" priority="2">
      <formula>AND($E16&lt;&gt;"",J16="")</formula>
    </cfRule>
  </conditionalFormatting>
  <conditionalFormatting sqref="L16:L21">
    <cfRule type="expression" dxfId="61" priority="3">
      <formula>AND(L16&lt;&gt;"",L16=$R16)</formula>
    </cfRule>
    <cfRule type="expression" dxfId="60" priority="4">
      <formula>AND($E16&lt;&gt;"",L16="")</formula>
    </cfRule>
  </conditionalFormatting>
  <conditionalFormatting sqref="N16:N21">
    <cfRule type="expression" dxfId="59" priority="5">
      <formula>AND(N16&lt;&gt;"",N16=$R16)</formula>
    </cfRule>
    <cfRule type="expression" dxfId="58" priority="6">
      <formula>AND($E16&lt;&gt;"",N16="")</formula>
    </cfRule>
  </conditionalFormatting>
  <conditionalFormatting sqref="P16:P21">
    <cfRule type="expression" dxfId="57" priority="7">
      <formula>AND(P16&lt;&gt;"",P16=$R16)</formula>
    </cfRule>
    <cfRule type="expression" dxfId="56" priority="8">
      <formula>AND($E16&lt;&gt;"",P16="")</formula>
    </cfRule>
  </conditionalFormatting>
  <dataValidations count="2">
    <dataValidation type="list" allowBlank="1" sqref="D16:D21" xr:uid="{9C1DE660-8DD7-5B40-B671-2FFE23F6A0CB}">
      <formula1>"Nos,Sqft,Sqm,Rft,Rmt,Kg,Ltr,Set,Cum,Job,LS"</formula1>
      <formula2>0</formula2>
    </dataValidation>
    <dataValidation type="list" allowBlank="1" showInputMessage="1" showErrorMessage="1" sqref="C13:D13" xr:uid="{3025E3BF-AA24-6C44-AC09-F55553AA1245}">
      <formula1>$Y$1:$Y$3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C725-E46E-0D47-B87B-33CE41B35422}">
  <sheetPr>
    <tabColor rgb="FF173B2E"/>
  </sheetPr>
  <dimension ref="A1:Y21"/>
  <sheetViews>
    <sheetView workbookViewId="0">
      <selection activeCell="H7" sqref="H7:I7"/>
    </sheetView>
  </sheetViews>
  <sheetFormatPr defaultColWidth="11.42578125" defaultRowHeight="15" x14ac:dyDescent="0.25"/>
  <sheetData>
    <row r="1" spans="1:25" ht="18.75" thickBot="1" x14ac:dyDescent="0.3">
      <c r="A1" s="37" t="s">
        <v>114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Y1" s="33" t="str">
        <f>J6</f>
        <v>Vendor 1 — name</v>
      </c>
    </row>
    <row r="2" spans="1:25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Y2" s="33" t="str">
        <f>L6</f>
        <v>Vendor 2 — name</v>
      </c>
    </row>
    <row r="3" spans="1:25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Y3" s="33" t="str">
        <f>N6</f>
        <v>Vendor 3 — name</v>
      </c>
    </row>
    <row r="5" spans="1:25" x14ac:dyDescent="0.25">
      <c r="A5" s="45" t="s">
        <v>115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5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5" x14ac:dyDescent="0.25">
      <c r="A7" s="44" t="s">
        <v>146</v>
      </c>
      <c r="B7" s="44"/>
      <c r="C7" s="44"/>
      <c r="D7" s="44"/>
      <c r="E7" s="44"/>
      <c r="F7" s="44"/>
      <c r="G7" s="4">
        <f>G21</f>
        <v>0</v>
      </c>
      <c r="H7" s="30"/>
      <c r="I7" s="4">
        <f>I21</f>
        <v>0</v>
      </c>
      <c r="K7" s="4">
        <f>K21</f>
        <v>0</v>
      </c>
      <c r="M7" s="4">
        <f>M21</f>
        <v>0</v>
      </c>
      <c r="O7" s="4">
        <f>O21</f>
        <v>0</v>
      </c>
      <c r="Q7" s="4">
        <f>Q21</f>
        <v>0</v>
      </c>
    </row>
    <row r="8" spans="1:25" x14ac:dyDescent="0.25">
      <c r="A8" s="54" t="s">
        <v>147</v>
      </c>
      <c r="B8" s="54"/>
      <c r="C8" s="54"/>
      <c r="D8" s="54"/>
      <c r="E8" s="54"/>
      <c r="F8" s="54"/>
      <c r="G8" s="14">
        <f>G7</f>
        <v>0</v>
      </c>
      <c r="H8" s="31"/>
      <c r="I8" s="14">
        <f>I7</f>
        <v>0</v>
      </c>
      <c r="K8" s="14">
        <f>K7</f>
        <v>0</v>
      </c>
      <c r="M8" s="14">
        <f>M7</f>
        <v>0</v>
      </c>
      <c r="O8" s="14">
        <f>O7</f>
        <v>0</v>
      </c>
      <c r="Q8" s="14">
        <f>Q7</f>
        <v>0</v>
      </c>
    </row>
    <row r="9" spans="1:25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4" t="str">
        <f>IF(I8=0,"",I8-$G$8)</f>
        <v/>
      </c>
      <c r="K9" s="4" t="str">
        <f>IF(K8=0,"",K8-$G$8)</f>
        <v/>
      </c>
      <c r="M9" s="4" t="str">
        <f>IF(M8=0,"",M8-$G$8)</f>
        <v/>
      </c>
      <c r="O9" s="4" t="str">
        <f>IF(O8=0,"",O8-$G$8)</f>
        <v/>
      </c>
      <c r="Q9" s="4" t="str">
        <f>IF(Q8=0,"",Q8-$G$8)</f>
        <v/>
      </c>
    </row>
    <row r="10" spans="1:25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6" t="str">
        <f>IF(OR(I8=0,$G$8=0),"",I8/$G$8-1)</f>
        <v/>
      </c>
      <c r="K10" s="6" t="str">
        <f>IF(OR(K8=0,$G$8=0),"",K8/$G$8-1)</f>
        <v/>
      </c>
      <c r="M10" s="6" t="str">
        <f>IF(OR(M8=0,$G$8=0),"",M8/$G$8-1)</f>
        <v/>
      </c>
      <c r="O10" s="6" t="str">
        <f>IF(OR(O8=0,$G$8=0),"",O8/$G$8-1)</f>
        <v/>
      </c>
      <c r="Q10" s="6" t="str">
        <f>IF(OR(Q8=0,$G$8=0),"",Q8/$G$8-1)</f>
        <v/>
      </c>
    </row>
    <row r="11" spans="1:25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5" t="s">
        <v>13</v>
      </c>
      <c r="K11" s="5" t="str">
        <f>IF(K8=0,"",1+IF(AND(M8&gt;0,M8&lt;K8),1,0)+IF(AND(O8&gt;0,O8&lt;K8),1,0)+IF(AND(Q8&gt;0,Q8&lt;K8),1,0))</f>
        <v/>
      </c>
      <c r="M11" s="5" t="str">
        <f>IF(M8=0,"",1+IF(AND(K8&gt;0,K8&lt;M8),1,0)+IF(AND(O8&gt;0,O8&lt;M8),1,0)+IF(AND(Q8&gt;0,Q8&lt;M8),1,0))</f>
        <v/>
      </c>
      <c r="O11" s="5" t="str">
        <f>IF(O8=0,"",1+IF(AND(K8&gt;0,K8&lt;O8),1,0)+IF(AND(M8&gt;0,M8&lt;O8),1,0)+IF(AND(Q8&gt;0,Q8&lt;O8),1,0))</f>
        <v/>
      </c>
      <c r="Q11" s="5" t="str">
        <f>IF(Q8=0,"",1+IF(AND(K8&gt;0,K8&lt;Q8),1,0)+IF(AND(M8&gt;0,M8&lt;Q8),1,0)+IF(AND(O8&gt;0,O8&lt;Q8),1,0))</f>
        <v/>
      </c>
    </row>
    <row r="12" spans="1:25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5" t="str">
        <f>IF(I8=0,"",COUNT($E$17:$E$20)-COUNT(H17:H20))</f>
        <v/>
      </c>
      <c r="K12" s="5" t="str">
        <f>IF(K8=0,"",COUNT($E$17:$E$20)-COUNT(J17:J20))</f>
        <v/>
      </c>
      <c r="M12" s="5" t="str">
        <f>IF(M8=0,"",COUNT($E$17:$E$20)-COUNT(L17:L20))</f>
        <v/>
      </c>
      <c r="O12" s="5" t="str">
        <f>IF(O8=0,"",COUNT($E$17:$E$20)-COUNT(N17:N20))</f>
        <v/>
      </c>
      <c r="Q12" s="5" t="str">
        <f>IF(Q8=0,"",COUNT($E$17:$E$20)-COUNT(P17:P20))</f>
        <v/>
      </c>
    </row>
    <row r="13" spans="1:25" x14ac:dyDescent="0.25">
      <c r="A13" s="34" t="s">
        <v>140</v>
      </c>
      <c r="C13" s="53"/>
      <c r="D13" s="53"/>
      <c r="F13" s="35" t="s">
        <v>150</v>
      </c>
      <c r="H13" s="36" t="str">
        <f>IF($C13="","",IF($C13=J6,K7,IF($C13=L6,M7,IF($C13=N6,O7,IF($C13=P6,Q7,"")))))</f>
        <v/>
      </c>
    </row>
    <row r="14" spans="1:25" x14ac:dyDescent="0.25">
      <c r="A14" s="48" t="s">
        <v>116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48"/>
      <c r="R14" s="48" t="s">
        <v>17</v>
      </c>
      <c r="S14" s="48"/>
      <c r="T14" s="48"/>
      <c r="U14" s="48"/>
      <c r="V14" s="13" t="s">
        <v>18</v>
      </c>
    </row>
    <row r="15" spans="1:25" ht="38.2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5" x14ac:dyDescent="0.25">
      <c r="A16" s="68" t="s">
        <v>45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 x14ac:dyDescent="0.25">
      <c r="A17" s="5">
        <v>26</v>
      </c>
      <c r="B17" s="7"/>
      <c r="C17" s="7"/>
      <c r="D17" s="8"/>
      <c r="E17" s="8"/>
      <c r="F17" s="9"/>
      <c r="G17" s="4" t="str">
        <f>IF(OR($E17="",$F17=""),"",$E17*$F17)</f>
        <v/>
      </c>
      <c r="H17" s="9"/>
      <c r="I17" s="4" t="str">
        <f>IF(OR($E17="",H17=""),"",$E17*H17)</f>
        <v/>
      </c>
      <c r="J17" s="9"/>
      <c r="K17" s="4" t="str">
        <f>IF(OR($E17="",J17=""),"",$E17*J17)</f>
        <v/>
      </c>
      <c r="L17" s="9"/>
      <c r="M17" s="4" t="str">
        <f>IF(OR($E17="",L17=""),"",$E17*L17)</f>
        <v/>
      </c>
      <c r="N17" s="9"/>
      <c r="O17" s="4" t="str">
        <f>IF(OR($E17="",N17=""),"",$E17*N17)</f>
        <v/>
      </c>
      <c r="P17" s="9"/>
      <c r="Q17" s="4" t="str">
        <f>IF(OR($E17="",P17=""),"",$E17*P17)</f>
        <v/>
      </c>
      <c r="R17" s="10" t="str">
        <f>IF(MIN(IF(J17=0,9.9E+30,J17),IF(L17=0,9.9E+30,L17),IF(N17=0,9.9E+30,N17),IF(P17=0,9.9E+30,P17))&gt;9E+30,"",MIN(IF(J17=0,9.9E+30,J17),IF(L17=0,9.9E+30,L17),IF(N17=0,9.9E+30,N17),IF(P17=0,9.9E+30,P17)))</f>
        <v/>
      </c>
      <c r="S17" s="5" t="str">
        <f>IF($R17="","",IF(J17=$R17,$J$6,IF(L17=$R17,$L$6,IF(N17=$R17,$N$6,IF(P17=$R17,$P$6,"")))))</f>
        <v/>
      </c>
      <c r="T17" s="4" t="str">
        <f>IF(OR($R17="",$E17=""),"",$E17*$R17)</f>
        <v/>
      </c>
      <c r="U17" s="6" t="str">
        <f>IF(OR($F17="",$F17=0,$R17=""),"",$R17/$F17-1)</f>
        <v/>
      </c>
      <c r="V17" s="7"/>
    </row>
    <row r="18" spans="1:22" x14ac:dyDescent="0.25">
      <c r="A18" s="5">
        <v>27</v>
      </c>
      <c r="B18" s="7"/>
      <c r="C18" s="7"/>
      <c r="D18" s="8"/>
      <c r="E18" s="8"/>
      <c r="F18" s="9"/>
      <c r="G18" s="4" t="str">
        <f>IF(OR($E18="",$F18=""),"",$E18*$F18)</f>
        <v/>
      </c>
      <c r="H18" s="9"/>
      <c r="I18" s="4" t="str">
        <f>IF(OR($E18="",H18=""),"",$E18*H18)</f>
        <v/>
      </c>
      <c r="J18" s="9"/>
      <c r="K18" s="4" t="str">
        <f>IF(OR($E18="",J18=""),"",$E18*J18)</f>
        <v/>
      </c>
      <c r="L18" s="9"/>
      <c r="M18" s="4" t="str">
        <f>IF(OR($E18="",L18=""),"",$E18*L18)</f>
        <v/>
      </c>
      <c r="N18" s="9"/>
      <c r="O18" s="4" t="str">
        <f>IF(OR($E18="",N18=""),"",$E18*N18)</f>
        <v/>
      </c>
      <c r="P18" s="9"/>
      <c r="Q18" s="4" t="str">
        <f>IF(OR($E18="",P18=""),"",$E18*P18)</f>
        <v/>
      </c>
      <c r="R18" s="10" t="str">
        <f>IF(MIN(IF(J18=0,9.9E+30,J18),IF(L18=0,9.9E+30,L18),IF(N18=0,9.9E+30,N18),IF(P18=0,9.9E+30,P18))&gt;9E+30,"",MIN(IF(J18=0,9.9E+30,J18),IF(L18=0,9.9E+30,L18),IF(N18=0,9.9E+30,N18),IF(P18=0,9.9E+30,P18)))</f>
        <v/>
      </c>
      <c r="S18" s="5" t="str">
        <f>IF($R18="","",IF(J18=$R18,$J$6,IF(L18=$R18,$L$6,IF(N18=$R18,$N$6,IF(P18=$R18,$P$6,"")))))</f>
        <v/>
      </c>
      <c r="T18" s="4" t="str">
        <f>IF(OR($R18="",$E18=""),"",$E18*$R18)</f>
        <v/>
      </c>
      <c r="U18" s="6" t="str">
        <f>IF(OR($F18="",$F18=0,$R18=""),"",$R18/$F18-1)</f>
        <v/>
      </c>
      <c r="V18" s="7"/>
    </row>
    <row r="19" spans="1:22" x14ac:dyDescent="0.25">
      <c r="A19" s="5">
        <v>28</v>
      </c>
      <c r="B19" s="7"/>
      <c r="C19" s="7"/>
      <c r="D19" s="8"/>
      <c r="E19" s="8"/>
      <c r="F19" s="9"/>
      <c r="G19" s="4" t="str">
        <f>IF(OR($E19="",$F19=""),"",$E19*$F19)</f>
        <v/>
      </c>
      <c r="H19" s="9"/>
      <c r="I19" s="4" t="str">
        <f>IF(OR($E19="",H19=""),"",$E19*H19)</f>
        <v/>
      </c>
      <c r="J19" s="9"/>
      <c r="K19" s="4" t="str">
        <f>IF(OR($E19="",J19=""),"",$E19*J19)</f>
        <v/>
      </c>
      <c r="L19" s="9"/>
      <c r="M19" s="4" t="str">
        <f>IF(OR($E19="",L19=""),"",$E19*L19)</f>
        <v/>
      </c>
      <c r="N19" s="9"/>
      <c r="O19" s="4" t="str">
        <f>IF(OR($E19="",N19=""),"",$E19*N19)</f>
        <v/>
      </c>
      <c r="P19" s="9"/>
      <c r="Q19" s="4" t="str">
        <f>IF(OR($E19="",P19=""),"",$E19*P19)</f>
        <v/>
      </c>
      <c r="R19" s="10" t="str">
        <f>IF(MIN(IF(J19=0,9.9E+30,J19),IF(L19=0,9.9E+30,L19),IF(N19=0,9.9E+30,N19),IF(P19=0,9.9E+30,P19))&gt;9E+30,"",MIN(IF(J19=0,9.9E+30,J19),IF(L19=0,9.9E+30,L19),IF(N19=0,9.9E+30,N19),IF(P19=0,9.9E+30,P19)))</f>
        <v/>
      </c>
      <c r="S19" s="5" t="str">
        <f>IF($R19="","",IF(J19=$R19,$J$6,IF(L19=$R19,$L$6,IF(N19=$R19,$N$6,IF(P19=$R19,$P$6,"")))))</f>
        <v/>
      </c>
      <c r="T19" s="4" t="str">
        <f>IF(OR($R19="",$E19=""),"",$E19*$R19)</f>
        <v/>
      </c>
      <c r="U19" s="6" t="str">
        <f>IF(OR($F19="",$F19=0,$R19=""),"",$R19/$F19-1)</f>
        <v/>
      </c>
      <c r="V19" s="7"/>
    </row>
    <row r="20" spans="1:22" ht="15.75" thickBot="1" x14ac:dyDescent="0.3">
      <c r="A20" s="5">
        <v>29</v>
      </c>
      <c r="B20" s="7"/>
      <c r="C20" s="7"/>
      <c r="D20" s="8"/>
      <c r="E20" s="8"/>
      <c r="F20" s="9"/>
      <c r="G20" s="4" t="str">
        <f>IF(OR($E20="",$F20=""),"",$E20*$F20)</f>
        <v/>
      </c>
      <c r="H20" s="9"/>
      <c r="I20" s="4" t="str">
        <f>IF(OR($E20="",H20=""),"",$E20*H20)</f>
        <v/>
      </c>
      <c r="J20" s="9"/>
      <c r="K20" s="4" t="str">
        <f>IF(OR($E20="",J20=""),"",$E20*J20)</f>
        <v/>
      </c>
      <c r="L20" s="9"/>
      <c r="M20" s="4" t="str">
        <f>IF(OR($E20="",L20=""),"",$E20*L20)</f>
        <v/>
      </c>
      <c r="N20" s="9"/>
      <c r="O20" s="4" t="str">
        <f>IF(OR($E20="",N20=""),"",$E20*N20)</f>
        <v/>
      </c>
      <c r="P20" s="9"/>
      <c r="Q20" s="4" t="str">
        <f>IF(OR($E20="",P20=""),"",$E20*P20)</f>
        <v/>
      </c>
      <c r="R20" s="10" t="str">
        <f>IF(MIN(IF(J20=0,9.9E+30,J20),IF(L20=0,9.9E+30,L20),IF(N20=0,9.9E+30,N20),IF(P20=0,9.9E+30,P20))&gt;9E+30,"",MIN(IF(J20=0,9.9E+30,J20),IF(L20=0,9.9E+30,L20),IF(N20=0,9.9E+30,N20),IF(P20=0,9.9E+30,P20)))</f>
        <v/>
      </c>
      <c r="S20" s="5" t="str">
        <f>IF($R20="","",IF(J20=$R20,$J$6,IF(L20=$R20,$L$6,IF(N20=$R20,$N$6,IF(P20=$R20,$P$6,"")))))</f>
        <v/>
      </c>
      <c r="T20" s="4" t="str">
        <f>IF(OR($R20="",$E20=""),"",$E20*$R20)</f>
        <v/>
      </c>
      <c r="U20" s="6" t="str">
        <f>IF(OR($F20="",$F20=0,$R20=""),"",$R20/$F20-1)</f>
        <v/>
      </c>
      <c r="V20" s="7"/>
    </row>
    <row r="21" spans="1:22" x14ac:dyDescent="0.25">
      <c r="A21" s="67" t="s">
        <v>46</v>
      </c>
      <c r="B21" s="67"/>
      <c r="C21" s="67"/>
      <c r="D21" s="67"/>
      <c r="E21" s="67"/>
      <c r="F21" s="67"/>
      <c r="G21" s="11">
        <f>SUM(G17:G20)</f>
        <v>0</v>
      </c>
      <c r="H21" s="1"/>
      <c r="I21" s="11">
        <f>SUM(I17:I20)</f>
        <v>0</v>
      </c>
      <c r="J21" s="12"/>
      <c r="K21" s="11">
        <f>SUM(K17:K20)</f>
        <v>0</v>
      </c>
      <c r="L21" s="12"/>
      <c r="M21" s="11">
        <f>SUM(M17:M20)</f>
        <v>0</v>
      </c>
      <c r="N21" s="12"/>
      <c r="O21" s="11">
        <f>SUM(O17:O20)</f>
        <v>0</v>
      </c>
      <c r="P21" s="12"/>
      <c r="Q21" s="11">
        <f>SUM(Q17:Q20)</f>
        <v>0</v>
      </c>
      <c r="R21" s="12"/>
      <c r="S21" s="12"/>
      <c r="T21" s="11">
        <f>SUM(T17:T20)</f>
        <v>0</v>
      </c>
      <c r="U21" s="12"/>
      <c r="V21" s="12"/>
    </row>
  </sheetData>
  <mergeCells count="28">
    <mergeCell ref="R14:U14"/>
    <mergeCell ref="A16:V16"/>
    <mergeCell ref="A21:F21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6:J21">
    <cfRule type="expression" dxfId="55" priority="1">
      <formula>AND(J16&lt;&gt;"",J16=$R16)</formula>
    </cfRule>
    <cfRule type="expression" dxfId="54" priority="2">
      <formula>AND($E16&lt;&gt;"",J16="")</formula>
    </cfRule>
  </conditionalFormatting>
  <conditionalFormatting sqref="L16:L21">
    <cfRule type="expression" dxfId="53" priority="3">
      <formula>AND(L16&lt;&gt;"",L16=$R16)</formula>
    </cfRule>
    <cfRule type="expression" dxfId="52" priority="4">
      <formula>AND($E16&lt;&gt;"",L16="")</formula>
    </cfRule>
  </conditionalFormatting>
  <conditionalFormatting sqref="N16:N21">
    <cfRule type="expression" dxfId="51" priority="5">
      <formula>AND(N16&lt;&gt;"",N16=$R16)</formula>
    </cfRule>
    <cfRule type="expression" dxfId="50" priority="6">
      <formula>AND($E16&lt;&gt;"",N16="")</formula>
    </cfRule>
  </conditionalFormatting>
  <conditionalFormatting sqref="P16:P21">
    <cfRule type="expression" dxfId="49" priority="7">
      <formula>AND(P16&lt;&gt;"",P16=$R16)</formula>
    </cfRule>
    <cfRule type="expression" dxfId="48" priority="8">
      <formula>AND($E16&lt;&gt;"",P16="")</formula>
    </cfRule>
  </conditionalFormatting>
  <dataValidations count="2">
    <dataValidation type="list" allowBlank="1" sqref="D16:D21" xr:uid="{5695245E-5415-6E47-B26B-A88E881CBFF3}">
      <formula1>"Nos,Sqft,Sqm,Rft,Rmt,Kg,Ltr,Set,Cum,Job,LS"</formula1>
      <formula2>0</formula2>
    </dataValidation>
    <dataValidation type="list" allowBlank="1" showInputMessage="1" showErrorMessage="1" sqref="C13:D13" xr:uid="{DB19B1EE-246A-5448-85E9-3CA2B7E68C99}">
      <formula1>$Y$1:$Y$3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D1FA-E37C-4947-9D24-D35D3018557C}">
  <sheetPr>
    <tabColor rgb="FF173B2E"/>
  </sheetPr>
  <dimension ref="A1:Y21"/>
  <sheetViews>
    <sheetView workbookViewId="0">
      <selection activeCell="H7" sqref="H7:I7"/>
    </sheetView>
  </sheetViews>
  <sheetFormatPr defaultColWidth="11.42578125" defaultRowHeight="15" x14ac:dyDescent="0.25"/>
  <sheetData>
    <row r="1" spans="1:25" ht="18.75" thickBot="1" x14ac:dyDescent="0.3">
      <c r="A1" s="37" t="s">
        <v>117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Y1" s="33" t="str">
        <f>J6</f>
        <v>Vendor 1 — name</v>
      </c>
    </row>
    <row r="2" spans="1:25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Y2" s="33" t="str">
        <f>L6</f>
        <v>Vendor 2 — name</v>
      </c>
    </row>
    <row r="3" spans="1:25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Y3" s="33" t="str">
        <f>N6</f>
        <v>Vendor 3 — name</v>
      </c>
    </row>
    <row r="5" spans="1:25" x14ac:dyDescent="0.25">
      <c r="A5" s="45" t="s">
        <v>118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5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5" x14ac:dyDescent="0.25">
      <c r="A7" s="44" t="s">
        <v>146</v>
      </c>
      <c r="B7" s="44"/>
      <c r="C7" s="44"/>
      <c r="D7" s="44"/>
      <c r="E7" s="44"/>
      <c r="F7" s="44"/>
      <c r="G7" s="4">
        <f>G21</f>
        <v>0</v>
      </c>
      <c r="H7" s="30"/>
      <c r="I7" s="4">
        <f>I21</f>
        <v>0</v>
      </c>
      <c r="K7" s="4">
        <f>K21</f>
        <v>0</v>
      </c>
      <c r="M7" s="4">
        <f>M21</f>
        <v>0</v>
      </c>
      <c r="O7" s="4">
        <f>O21</f>
        <v>0</v>
      </c>
      <c r="Q7" s="4">
        <f>Q21</f>
        <v>0</v>
      </c>
    </row>
    <row r="8" spans="1:25" x14ac:dyDescent="0.25">
      <c r="A8" s="54" t="s">
        <v>147</v>
      </c>
      <c r="B8" s="54"/>
      <c r="C8" s="54"/>
      <c r="D8" s="54"/>
      <c r="E8" s="54"/>
      <c r="F8" s="54"/>
      <c r="G8" s="14">
        <f>G7</f>
        <v>0</v>
      </c>
      <c r="H8" s="31"/>
      <c r="I8" s="14">
        <f>I7</f>
        <v>0</v>
      </c>
      <c r="K8" s="14">
        <f>K7</f>
        <v>0</v>
      </c>
      <c r="M8" s="14">
        <f>M7</f>
        <v>0</v>
      </c>
      <c r="O8" s="14">
        <f>O7</f>
        <v>0</v>
      </c>
      <c r="Q8" s="14">
        <f>Q7</f>
        <v>0</v>
      </c>
    </row>
    <row r="9" spans="1:25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4" t="str">
        <f>IF(I8=0,"",I8-$G$8)</f>
        <v/>
      </c>
      <c r="K9" s="4" t="str">
        <f>IF(K8=0,"",K8-$G$8)</f>
        <v/>
      </c>
      <c r="M9" s="4" t="str">
        <f>IF(M8=0,"",M8-$G$8)</f>
        <v/>
      </c>
      <c r="O9" s="4" t="str">
        <f>IF(O8=0,"",O8-$G$8)</f>
        <v/>
      </c>
      <c r="Q9" s="4" t="str">
        <f>IF(Q8=0,"",Q8-$G$8)</f>
        <v/>
      </c>
    </row>
    <row r="10" spans="1:25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6" t="str">
        <f>IF(OR(I8=0,$G$8=0),"",I8/$G$8-1)</f>
        <v/>
      </c>
      <c r="K10" s="6" t="str">
        <f>IF(OR(K8=0,$G$8=0),"",K8/$G$8-1)</f>
        <v/>
      </c>
      <c r="M10" s="6" t="str">
        <f>IF(OR(M8=0,$G$8=0),"",M8/$G$8-1)</f>
        <v/>
      </c>
      <c r="O10" s="6" t="str">
        <f>IF(OR(O8=0,$G$8=0),"",O8/$G$8-1)</f>
        <v/>
      </c>
      <c r="Q10" s="6" t="str">
        <f>IF(OR(Q8=0,$G$8=0),"",Q8/$G$8-1)</f>
        <v/>
      </c>
    </row>
    <row r="11" spans="1:25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5" t="s">
        <v>13</v>
      </c>
      <c r="K11" s="5" t="str">
        <f>IF(K8=0,"",1+IF(AND(M8&gt;0,M8&lt;K8),1,0)+IF(AND(O8&gt;0,O8&lt;K8),1,0)+IF(AND(Q8&gt;0,Q8&lt;K8),1,0))</f>
        <v/>
      </c>
      <c r="M11" s="5" t="str">
        <f>IF(M8=0,"",1+IF(AND(K8&gt;0,K8&lt;M8),1,0)+IF(AND(O8&gt;0,O8&lt;M8),1,0)+IF(AND(Q8&gt;0,Q8&lt;M8),1,0))</f>
        <v/>
      </c>
      <c r="O11" s="5" t="str">
        <f>IF(O8=0,"",1+IF(AND(K8&gt;0,K8&lt;O8),1,0)+IF(AND(M8&gt;0,M8&lt;O8),1,0)+IF(AND(Q8&gt;0,Q8&lt;O8),1,0))</f>
        <v/>
      </c>
      <c r="Q11" s="5" t="str">
        <f>IF(Q8=0,"",1+IF(AND(K8&gt;0,K8&lt;Q8),1,0)+IF(AND(M8&gt;0,M8&lt;Q8),1,0)+IF(AND(O8&gt;0,O8&lt;Q8),1,0))</f>
        <v/>
      </c>
    </row>
    <row r="12" spans="1:25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5" t="str">
        <f>IF(I8=0,"",COUNT($E$17:$E$20)-COUNT(H17:H20))</f>
        <v/>
      </c>
      <c r="K12" s="5" t="str">
        <f>IF(K8=0,"",COUNT($E$17:$E$20)-COUNT(J17:J20))</f>
        <v/>
      </c>
      <c r="M12" s="5" t="str">
        <f>IF(M8=0,"",COUNT($E$17:$E$20)-COUNT(L17:L20))</f>
        <v/>
      </c>
      <c r="O12" s="5" t="str">
        <f>IF(O8=0,"",COUNT($E$17:$E$20)-COUNT(N17:N20))</f>
        <v/>
      </c>
      <c r="Q12" s="5" t="str">
        <f>IF(Q8=0,"",COUNT($E$17:$E$20)-COUNT(P17:P20))</f>
        <v/>
      </c>
    </row>
    <row r="13" spans="1:25" x14ac:dyDescent="0.25">
      <c r="A13" s="34" t="s">
        <v>140</v>
      </c>
      <c r="C13" s="53"/>
      <c r="D13" s="53"/>
      <c r="F13" s="35" t="s">
        <v>150</v>
      </c>
      <c r="H13" s="36" t="str">
        <f>IF($C13="","",IF($C13=J6,K7,IF($C13=L6,M7,IF($C13=N6,O7,IF($C13=P6,Q7,"")))))</f>
        <v/>
      </c>
    </row>
    <row r="14" spans="1:25" x14ac:dyDescent="0.25">
      <c r="A14" s="48" t="s">
        <v>119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48"/>
      <c r="R14" s="48" t="s">
        <v>17</v>
      </c>
      <c r="S14" s="48"/>
      <c r="T14" s="48"/>
      <c r="U14" s="48"/>
      <c r="V14" s="13" t="s">
        <v>18</v>
      </c>
    </row>
    <row r="15" spans="1:25" ht="38.2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5" x14ac:dyDescent="0.25">
      <c r="A16" s="68" t="s">
        <v>47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 x14ac:dyDescent="0.25">
      <c r="A17" s="5">
        <v>30</v>
      </c>
      <c r="B17" s="7"/>
      <c r="C17" s="7"/>
      <c r="D17" s="8"/>
      <c r="E17" s="8"/>
      <c r="F17" s="9"/>
      <c r="G17" s="4" t="str">
        <f>IF(OR($E17="",$F17=""),"",$E17*$F17)</f>
        <v/>
      </c>
      <c r="H17" s="9"/>
      <c r="I17" s="4" t="str">
        <f>IF(OR($E17="",H17=""),"",$E17*H17)</f>
        <v/>
      </c>
      <c r="J17" s="9"/>
      <c r="K17" s="4" t="str">
        <f>IF(OR($E17="",J17=""),"",$E17*J17)</f>
        <v/>
      </c>
      <c r="L17" s="9"/>
      <c r="M17" s="4" t="str">
        <f>IF(OR($E17="",L17=""),"",$E17*L17)</f>
        <v/>
      </c>
      <c r="N17" s="9"/>
      <c r="O17" s="4" t="str">
        <f>IF(OR($E17="",N17=""),"",$E17*N17)</f>
        <v/>
      </c>
      <c r="P17" s="9"/>
      <c r="Q17" s="4" t="str">
        <f>IF(OR($E17="",P17=""),"",$E17*P17)</f>
        <v/>
      </c>
      <c r="R17" s="10" t="str">
        <f>IF(MIN(IF(J17=0,9.9E+30,J17),IF(L17=0,9.9E+30,L17),IF(N17=0,9.9E+30,N17),IF(P17=0,9.9E+30,P17))&gt;9E+30,"",MIN(IF(J17=0,9.9E+30,J17),IF(L17=0,9.9E+30,L17),IF(N17=0,9.9E+30,N17),IF(P17=0,9.9E+30,P17)))</f>
        <v/>
      </c>
      <c r="S17" s="5" t="str">
        <f>IF($R17="","",IF(J17=$R17,$J$6,IF(L17=$R17,$L$6,IF(N17=$R17,$N$6,IF(P17=$R17,$P$6,"")))))</f>
        <v/>
      </c>
      <c r="T17" s="4" t="str">
        <f>IF(OR($R17="",$E17=""),"",$E17*$R17)</f>
        <v/>
      </c>
      <c r="U17" s="6" t="str">
        <f>IF(OR($F17="",$F17=0,$R17=""),"",$R17/$F17-1)</f>
        <v/>
      </c>
      <c r="V17" s="7"/>
    </row>
    <row r="18" spans="1:22" x14ac:dyDescent="0.25">
      <c r="A18" s="5">
        <v>31</v>
      </c>
      <c r="B18" s="7"/>
      <c r="C18" s="7"/>
      <c r="D18" s="8"/>
      <c r="E18" s="8"/>
      <c r="F18" s="9"/>
      <c r="G18" s="4" t="str">
        <f>IF(OR($E18="",$F18=""),"",$E18*$F18)</f>
        <v/>
      </c>
      <c r="H18" s="9"/>
      <c r="I18" s="4" t="str">
        <f>IF(OR($E18="",H18=""),"",$E18*H18)</f>
        <v/>
      </c>
      <c r="J18" s="9"/>
      <c r="K18" s="4" t="str">
        <f>IF(OR($E18="",J18=""),"",$E18*J18)</f>
        <v/>
      </c>
      <c r="L18" s="9"/>
      <c r="M18" s="4" t="str">
        <f>IF(OR($E18="",L18=""),"",$E18*L18)</f>
        <v/>
      </c>
      <c r="N18" s="9"/>
      <c r="O18" s="4" t="str">
        <f>IF(OR($E18="",N18=""),"",$E18*N18)</f>
        <v/>
      </c>
      <c r="P18" s="9"/>
      <c r="Q18" s="4" t="str">
        <f>IF(OR($E18="",P18=""),"",$E18*P18)</f>
        <v/>
      </c>
      <c r="R18" s="10" t="str">
        <f>IF(MIN(IF(J18=0,9.9E+30,J18),IF(L18=0,9.9E+30,L18),IF(N18=0,9.9E+30,N18),IF(P18=0,9.9E+30,P18))&gt;9E+30,"",MIN(IF(J18=0,9.9E+30,J18),IF(L18=0,9.9E+30,L18),IF(N18=0,9.9E+30,N18),IF(P18=0,9.9E+30,P18)))</f>
        <v/>
      </c>
      <c r="S18" s="5" t="str">
        <f>IF($R18="","",IF(J18=$R18,$J$6,IF(L18=$R18,$L$6,IF(N18=$R18,$N$6,IF(P18=$R18,$P$6,"")))))</f>
        <v/>
      </c>
      <c r="T18" s="4" t="str">
        <f>IF(OR($R18="",$E18=""),"",$E18*$R18)</f>
        <v/>
      </c>
      <c r="U18" s="6" t="str">
        <f>IF(OR($F18="",$F18=0,$R18=""),"",$R18/$F18-1)</f>
        <v/>
      </c>
      <c r="V18" s="7"/>
    </row>
    <row r="19" spans="1:22" x14ac:dyDescent="0.25">
      <c r="A19" s="5">
        <v>32</v>
      </c>
      <c r="B19" s="7"/>
      <c r="C19" s="7"/>
      <c r="D19" s="8"/>
      <c r="E19" s="8"/>
      <c r="F19" s="9"/>
      <c r="G19" s="4" t="str">
        <f>IF(OR($E19="",$F19=""),"",$E19*$F19)</f>
        <v/>
      </c>
      <c r="H19" s="9"/>
      <c r="I19" s="4" t="str">
        <f>IF(OR($E19="",H19=""),"",$E19*H19)</f>
        <v/>
      </c>
      <c r="J19" s="9"/>
      <c r="K19" s="4" t="str">
        <f>IF(OR($E19="",J19=""),"",$E19*J19)</f>
        <v/>
      </c>
      <c r="L19" s="9"/>
      <c r="M19" s="4" t="str">
        <f>IF(OR($E19="",L19=""),"",$E19*L19)</f>
        <v/>
      </c>
      <c r="N19" s="9"/>
      <c r="O19" s="4" t="str">
        <f>IF(OR($E19="",N19=""),"",$E19*N19)</f>
        <v/>
      </c>
      <c r="P19" s="9"/>
      <c r="Q19" s="4" t="str">
        <f>IF(OR($E19="",P19=""),"",$E19*P19)</f>
        <v/>
      </c>
      <c r="R19" s="10" t="str">
        <f>IF(MIN(IF(J19=0,9.9E+30,J19),IF(L19=0,9.9E+30,L19),IF(N19=0,9.9E+30,N19),IF(P19=0,9.9E+30,P19))&gt;9E+30,"",MIN(IF(J19=0,9.9E+30,J19),IF(L19=0,9.9E+30,L19),IF(N19=0,9.9E+30,N19),IF(P19=0,9.9E+30,P19)))</f>
        <v/>
      </c>
      <c r="S19" s="5" t="str">
        <f>IF($R19="","",IF(J19=$R19,$J$6,IF(L19=$R19,$L$6,IF(N19=$R19,$N$6,IF(P19=$R19,$P$6,"")))))</f>
        <v/>
      </c>
      <c r="T19" s="4" t="str">
        <f>IF(OR($R19="",$E19=""),"",$E19*$R19)</f>
        <v/>
      </c>
      <c r="U19" s="6" t="str">
        <f>IF(OR($F19="",$F19=0,$R19=""),"",$R19/$F19-1)</f>
        <v/>
      </c>
      <c r="V19" s="7"/>
    </row>
    <row r="20" spans="1:22" ht="15.75" thickBot="1" x14ac:dyDescent="0.3">
      <c r="A20" s="5">
        <v>33</v>
      </c>
      <c r="B20" s="7"/>
      <c r="C20" s="7"/>
      <c r="D20" s="8"/>
      <c r="E20" s="8"/>
      <c r="F20" s="9"/>
      <c r="G20" s="4" t="str">
        <f>IF(OR($E20="",$F20=""),"",$E20*$F20)</f>
        <v/>
      </c>
      <c r="H20" s="9"/>
      <c r="I20" s="4" t="str">
        <f>IF(OR($E20="",H20=""),"",$E20*H20)</f>
        <v/>
      </c>
      <c r="J20" s="9"/>
      <c r="K20" s="4" t="str">
        <f>IF(OR($E20="",J20=""),"",$E20*J20)</f>
        <v/>
      </c>
      <c r="L20" s="9"/>
      <c r="M20" s="4" t="str">
        <f>IF(OR($E20="",L20=""),"",$E20*L20)</f>
        <v/>
      </c>
      <c r="N20" s="9"/>
      <c r="O20" s="4" t="str">
        <f>IF(OR($E20="",N20=""),"",$E20*N20)</f>
        <v/>
      </c>
      <c r="P20" s="9"/>
      <c r="Q20" s="4" t="str">
        <f>IF(OR($E20="",P20=""),"",$E20*P20)</f>
        <v/>
      </c>
      <c r="R20" s="10" t="str">
        <f>IF(MIN(IF(J20=0,9.9E+30,J20),IF(L20=0,9.9E+30,L20),IF(N20=0,9.9E+30,N20),IF(P20=0,9.9E+30,P20))&gt;9E+30,"",MIN(IF(J20=0,9.9E+30,J20),IF(L20=0,9.9E+30,L20),IF(N20=0,9.9E+30,N20),IF(P20=0,9.9E+30,P20)))</f>
        <v/>
      </c>
      <c r="S20" s="5" t="str">
        <f>IF($R20="","",IF(J20=$R20,$J$6,IF(L20=$R20,$L$6,IF(N20=$R20,$N$6,IF(P20=$R20,$P$6,"")))))</f>
        <v/>
      </c>
      <c r="T20" s="4" t="str">
        <f>IF(OR($R20="",$E20=""),"",$E20*$R20)</f>
        <v/>
      </c>
      <c r="U20" s="6" t="str">
        <f>IF(OR($F20="",$F20=0,$R20=""),"",$R20/$F20-1)</f>
        <v/>
      </c>
      <c r="V20" s="7"/>
    </row>
    <row r="21" spans="1:22" x14ac:dyDescent="0.25">
      <c r="A21" s="67" t="s">
        <v>48</v>
      </c>
      <c r="B21" s="67"/>
      <c r="C21" s="67"/>
      <c r="D21" s="67"/>
      <c r="E21" s="67"/>
      <c r="F21" s="67"/>
      <c r="G21" s="11">
        <f>SUM(G17:G20)</f>
        <v>0</v>
      </c>
      <c r="H21" s="1"/>
      <c r="I21" s="11">
        <f>SUM(I17:I20)</f>
        <v>0</v>
      </c>
      <c r="J21" s="12"/>
      <c r="K21" s="11">
        <f>SUM(K17:K20)</f>
        <v>0</v>
      </c>
      <c r="L21" s="12"/>
      <c r="M21" s="11">
        <f>SUM(M17:M20)</f>
        <v>0</v>
      </c>
      <c r="N21" s="12"/>
      <c r="O21" s="11">
        <f>SUM(O17:O20)</f>
        <v>0</v>
      </c>
      <c r="P21" s="12"/>
      <c r="Q21" s="11">
        <f>SUM(Q17:Q20)</f>
        <v>0</v>
      </c>
      <c r="R21" s="12"/>
      <c r="S21" s="12"/>
      <c r="T21" s="11">
        <f>SUM(T17:T20)</f>
        <v>0</v>
      </c>
      <c r="U21" s="12"/>
      <c r="V21" s="12"/>
    </row>
  </sheetData>
  <mergeCells count="28">
    <mergeCell ref="R14:U14"/>
    <mergeCell ref="A16:V16"/>
    <mergeCell ref="A21:F21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6:J21">
    <cfRule type="expression" dxfId="47" priority="1">
      <formula>AND(J16&lt;&gt;"",J16=$R16)</formula>
    </cfRule>
    <cfRule type="expression" dxfId="46" priority="2">
      <formula>AND($E16&lt;&gt;"",J16="")</formula>
    </cfRule>
  </conditionalFormatting>
  <conditionalFormatting sqref="L16:L21">
    <cfRule type="expression" dxfId="45" priority="3">
      <formula>AND(L16&lt;&gt;"",L16=$R16)</formula>
    </cfRule>
    <cfRule type="expression" dxfId="44" priority="4">
      <formula>AND($E16&lt;&gt;"",L16="")</formula>
    </cfRule>
  </conditionalFormatting>
  <conditionalFormatting sqref="N16:N21">
    <cfRule type="expression" dxfId="43" priority="5">
      <formula>AND(N16&lt;&gt;"",N16=$R16)</formula>
    </cfRule>
    <cfRule type="expression" dxfId="42" priority="6">
      <formula>AND($E16&lt;&gt;"",N16="")</formula>
    </cfRule>
  </conditionalFormatting>
  <conditionalFormatting sqref="P16:P21">
    <cfRule type="expression" dxfId="41" priority="7">
      <formula>AND(P16&lt;&gt;"",P16=$R16)</formula>
    </cfRule>
    <cfRule type="expression" dxfId="40" priority="8">
      <formula>AND($E16&lt;&gt;"",P16="")</formula>
    </cfRule>
  </conditionalFormatting>
  <dataValidations count="2">
    <dataValidation type="list" allowBlank="1" sqref="D16:D21" xr:uid="{D9CDB276-2643-2444-B7F0-02A65A00B503}">
      <formula1>"Nos,Sqft,Sqm,Rft,Rmt,Kg,Ltr,Set,Cum,Job,LS"</formula1>
      <formula2>0</formula2>
    </dataValidation>
    <dataValidation type="list" allowBlank="1" showInputMessage="1" showErrorMessage="1" sqref="C13:D13" xr:uid="{E19448F2-BD0B-2E4A-9731-1E19A2241A8D}">
      <formula1>$Y$1:$Y$3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D2F2-F72A-DC4F-96D6-AE892C514222}">
  <sheetPr>
    <tabColor rgb="FF173B2E"/>
  </sheetPr>
  <dimension ref="A1:Y21"/>
  <sheetViews>
    <sheetView workbookViewId="0">
      <selection activeCell="B17" sqref="B17"/>
    </sheetView>
  </sheetViews>
  <sheetFormatPr defaultColWidth="11.42578125" defaultRowHeight="15" x14ac:dyDescent="0.25"/>
  <sheetData>
    <row r="1" spans="1:25" ht="18.75" thickBot="1" x14ac:dyDescent="0.3">
      <c r="A1" s="37" t="s">
        <v>120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Y1" s="33" t="str">
        <f>J6</f>
        <v>Vendor 1 — name</v>
      </c>
    </row>
    <row r="2" spans="1:25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Y2" s="33" t="str">
        <f>L6</f>
        <v>Vendor 2 — name</v>
      </c>
    </row>
    <row r="3" spans="1:25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Y3" s="33" t="str">
        <f>N6</f>
        <v>Vendor 3 — name</v>
      </c>
    </row>
    <row r="5" spans="1:25" x14ac:dyDescent="0.25">
      <c r="A5" s="45" t="s">
        <v>121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5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5" x14ac:dyDescent="0.25">
      <c r="A7" s="44" t="s">
        <v>146</v>
      </c>
      <c r="B7" s="44"/>
      <c r="C7" s="44"/>
      <c r="D7" s="44"/>
      <c r="E7" s="44"/>
      <c r="F7" s="44"/>
      <c r="G7" s="4">
        <f>G21</f>
        <v>0</v>
      </c>
      <c r="H7" s="30"/>
      <c r="I7" s="4">
        <f>I21</f>
        <v>0</v>
      </c>
      <c r="K7" s="4">
        <f>K21</f>
        <v>0</v>
      </c>
      <c r="M7" s="4">
        <f>M21</f>
        <v>0</v>
      </c>
      <c r="O7" s="4">
        <f>O21</f>
        <v>0</v>
      </c>
      <c r="Q7" s="4">
        <f>Q21</f>
        <v>0</v>
      </c>
    </row>
    <row r="8" spans="1:25" x14ac:dyDescent="0.25">
      <c r="A8" s="54" t="s">
        <v>147</v>
      </c>
      <c r="B8" s="54"/>
      <c r="C8" s="54"/>
      <c r="D8" s="54"/>
      <c r="E8" s="54"/>
      <c r="F8" s="54"/>
      <c r="G8" s="14">
        <f>G7</f>
        <v>0</v>
      </c>
      <c r="H8" s="31"/>
      <c r="I8" s="14">
        <f>I7</f>
        <v>0</v>
      </c>
      <c r="K8" s="14">
        <f>K7</f>
        <v>0</v>
      </c>
      <c r="M8" s="14">
        <f>M7</f>
        <v>0</v>
      </c>
      <c r="O8" s="14">
        <f>O7</f>
        <v>0</v>
      </c>
      <c r="Q8" s="14">
        <f>Q7</f>
        <v>0</v>
      </c>
    </row>
    <row r="9" spans="1:25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4" t="str">
        <f>IF(I8=0,"",I8-$G$8)</f>
        <v/>
      </c>
      <c r="K9" s="4" t="str">
        <f>IF(K8=0,"",K8-$G$8)</f>
        <v/>
      </c>
      <c r="M9" s="4" t="str">
        <f>IF(M8=0,"",M8-$G$8)</f>
        <v/>
      </c>
      <c r="O9" s="4" t="str">
        <f>IF(O8=0,"",O8-$G$8)</f>
        <v/>
      </c>
      <c r="Q9" s="4" t="str">
        <f>IF(Q8=0,"",Q8-$G$8)</f>
        <v/>
      </c>
    </row>
    <row r="10" spans="1:25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6" t="str">
        <f>IF(OR(I8=0,$G$8=0),"",I8/$G$8-1)</f>
        <v/>
      </c>
      <c r="K10" s="6" t="str">
        <f>IF(OR(K8=0,$G$8=0),"",K8/$G$8-1)</f>
        <v/>
      </c>
      <c r="M10" s="6" t="str">
        <f>IF(OR(M8=0,$G$8=0),"",M8/$G$8-1)</f>
        <v/>
      </c>
      <c r="O10" s="6" t="str">
        <f>IF(OR(O8=0,$G$8=0),"",O8/$G$8-1)</f>
        <v/>
      </c>
      <c r="Q10" s="6" t="str">
        <f>IF(OR(Q8=0,$G$8=0),"",Q8/$G$8-1)</f>
        <v/>
      </c>
    </row>
    <row r="11" spans="1:25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5" t="s">
        <v>13</v>
      </c>
      <c r="K11" s="5" t="str">
        <f>IF(K8=0,"",1+IF(AND(M8&gt;0,M8&lt;K8),1,0)+IF(AND(O8&gt;0,O8&lt;K8),1,0)+IF(AND(Q8&gt;0,Q8&lt;K8),1,0))</f>
        <v/>
      </c>
      <c r="M11" s="5" t="str">
        <f>IF(M8=0,"",1+IF(AND(K8&gt;0,K8&lt;M8),1,0)+IF(AND(O8&gt;0,O8&lt;M8),1,0)+IF(AND(Q8&gt;0,Q8&lt;M8),1,0))</f>
        <v/>
      </c>
      <c r="O11" s="5" t="str">
        <f>IF(O8=0,"",1+IF(AND(K8&gt;0,K8&lt;O8),1,0)+IF(AND(M8&gt;0,M8&lt;O8),1,0)+IF(AND(Q8&gt;0,Q8&lt;O8),1,0))</f>
        <v/>
      </c>
      <c r="Q11" s="5" t="str">
        <f>IF(Q8=0,"",1+IF(AND(K8&gt;0,K8&lt;Q8),1,0)+IF(AND(M8&gt;0,M8&lt;Q8),1,0)+IF(AND(O8&gt;0,O8&lt;Q8),1,0))</f>
        <v/>
      </c>
    </row>
    <row r="12" spans="1:25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5" t="str">
        <f>IF(I8=0,"",COUNT($E$17:$E$20)-COUNT(H17:H20))</f>
        <v/>
      </c>
      <c r="K12" s="5" t="str">
        <f>IF(K8=0,"",COUNT($E$17:$E$20)-COUNT(J17:J20))</f>
        <v/>
      </c>
      <c r="M12" s="5" t="str">
        <f>IF(M8=0,"",COUNT($E$17:$E$20)-COUNT(L17:L20))</f>
        <v/>
      </c>
      <c r="O12" s="5" t="str">
        <f>IF(O8=0,"",COUNT($E$17:$E$20)-COUNT(N17:N20))</f>
        <v/>
      </c>
      <c r="Q12" s="5" t="str">
        <f>IF(Q8=0,"",COUNT($E$17:$E$20)-COUNT(P17:P20))</f>
        <v/>
      </c>
    </row>
    <row r="13" spans="1:25" x14ac:dyDescent="0.25">
      <c r="A13" s="34" t="s">
        <v>140</v>
      </c>
      <c r="C13" s="53"/>
      <c r="D13" s="53"/>
      <c r="F13" s="35" t="s">
        <v>150</v>
      </c>
      <c r="H13" s="36" t="str">
        <f>IF($C13="","",IF($C13=J6,K7,IF($C13=L6,M7,IF($C13=N6,O7,IF($C13=P6,Q7,"")))))</f>
        <v/>
      </c>
    </row>
    <row r="14" spans="1:25" x14ac:dyDescent="0.25">
      <c r="A14" s="48" t="s">
        <v>122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48"/>
      <c r="R14" s="48" t="s">
        <v>17</v>
      </c>
      <c r="S14" s="48"/>
      <c r="T14" s="48"/>
      <c r="U14" s="48"/>
      <c r="V14" s="13" t="s">
        <v>18</v>
      </c>
    </row>
    <row r="15" spans="1:25" ht="38.2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5" x14ac:dyDescent="0.25">
      <c r="A16" s="68" t="s">
        <v>49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 x14ac:dyDescent="0.25">
      <c r="A17" s="5">
        <v>34</v>
      </c>
      <c r="B17" s="7"/>
      <c r="C17" s="7"/>
      <c r="D17" s="8"/>
      <c r="E17" s="8"/>
      <c r="F17" s="9"/>
      <c r="G17" s="4" t="str">
        <f>IF(OR($E17="",$F17=""),"",$E17*$F17)</f>
        <v/>
      </c>
      <c r="H17" s="9"/>
      <c r="I17" s="4" t="str">
        <f>IF(OR($E17="",H17=""),"",$E17*H17)</f>
        <v/>
      </c>
      <c r="J17" s="9"/>
      <c r="K17" s="4" t="str">
        <f>IF(OR($E17="",J17=""),"",$E17*J17)</f>
        <v/>
      </c>
      <c r="L17" s="9"/>
      <c r="M17" s="4" t="str">
        <f>IF(OR($E17="",L17=""),"",$E17*L17)</f>
        <v/>
      </c>
      <c r="N17" s="9"/>
      <c r="O17" s="4" t="str">
        <f>IF(OR($E17="",N17=""),"",$E17*N17)</f>
        <v/>
      </c>
      <c r="P17" s="9"/>
      <c r="Q17" s="4" t="str">
        <f>IF(OR($E17="",P17=""),"",$E17*P17)</f>
        <v/>
      </c>
      <c r="R17" s="10" t="str">
        <f>IF(MIN(IF(J17=0,9.9E+30,J17),IF(L17=0,9.9E+30,L17),IF(N17=0,9.9E+30,N17),IF(P17=0,9.9E+30,P17))&gt;9E+30,"",MIN(IF(J17=0,9.9E+30,J17),IF(L17=0,9.9E+30,L17),IF(N17=0,9.9E+30,N17),IF(P17=0,9.9E+30,P17)))</f>
        <v/>
      </c>
      <c r="S17" s="5" t="str">
        <f>IF($R17="","",IF(J17=$R17,$J$6,IF(L17=$R17,$L$6,IF(N17=$R17,$N$6,IF(P17=$R17,$P$6,"")))))</f>
        <v/>
      </c>
      <c r="T17" s="4" t="str">
        <f>IF(OR($R17="",$E17=""),"",$E17*$R17)</f>
        <v/>
      </c>
      <c r="U17" s="6" t="str">
        <f>IF(OR($F17="",$F17=0,$R17=""),"",$R17/$F17-1)</f>
        <v/>
      </c>
      <c r="V17" s="7"/>
    </row>
    <row r="18" spans="1:22" x14ac:dyDescent="0.25">
      <c r="A18" s="5">
        <v>35</v>
      </c>
      <c r="B18" s="7"/>
      <c r="C18" s="7"/>
      <c r="D18" s="8"/>
      <c r="E18" s="8"/>
      <c r="F18" s="9"/>
      <c r="G18" s="4" t="str">
        <f>IF(OR($E18="",$F18=""),"",$E18*$F18)</f>
        <v/>
      </c>
      <c r="H18" s="9"/>
      <c r="I18" s="4" t="str">
        <f>IF(OR($E18="",H18=""),"",$E18*H18)</f>
        <v/>
      </c>
      <c r="J18" s="9"/>
      <c r="K18" s="4" t="str">
        <f>IF(OR($E18="",J18=""),"",$E18*J18)</f>
        <v/>
      </c>
      <c r="L18" s="9"/>
      <c r="M18" s="4" t="str">
        <f>IF(OR($E18="",L18=""),"",$E18*L18)</f>
        <v/>
      </c>
      <c r="N18" s="9"/>
      <c r="O18" s="4" t="str">
        <f>IF(OR($E18="",N18=""),"",$E18*N18)</f>
        <v/>
      </c>
      <c r="P18" s="9"/>
      <c r="Q18" s="4" t="str">
        <f>IF(OR($E18="",P18=""),"",$E18*P18)</f>
        <v/>
      </c>
      <c r="R18" s="10" t="str">
        <f>IF(MIN(IF(J18=0,9.9E+30,J18),IF(L18=0,9.9E+30,L18),IF(N18=0,9.9E+30,N18),IF(P18=0,9.9E+30,P18))&gt;9E+30,"",MIN(IF(J18=0,9.9E+30,J18),IF(L18=0,9.9E+30,L18),IF(N18=0,9.9E+30,N18),IF(P18=0,9.9E+30,P18)))</f>
        <v/>
      </c>
      <c r="S18" s="5" t="str">
        <f>IF($R18="","",IF(J18=$R18,$J$6,IF(L18=$R18,$L$6,IF(N18=$R18,$N$6,IF(P18=$R18,$P$6,"")))))</f>
        <v/>
      </c>
      <c r="T18" s="4" t="str">
        <f>IF(OR($R18="",$E18=""),"",$E18*$R18)</f>
        <v/>
      </c>
      <c r="U18" s="6" t="str">
        <f>IF(OR($F18="",$F18=0,$R18=""),"",$R18/$F18-1)</f>
        <v/>
      </c>
      <c r="V18" s="7"/>
    </row>
    <row r="19" spans="1:22" x14ac:dyDescent="0.25">
      <c r="A19" s="5">
        <v>36</v>
      </c>
      <c r="B19" s="7"/>
      <c r="C19" s="7"/>
      <c r="D19" s="8"/>
      <c r="E19" s="8"/>
      <c r="F19" s="9"/>
      <c r="G19" s="4" t="str">
        <f>IF(OR($E19="",$F19=""),"",$E19*$F19)</f>
        <v/>
      </c>
      <c r="H19" s="9"/>
      <c r="I19" s="4" t="str">
        <f>IF(OR($E19="",H19=""),"",$E19*H19)</f>
        <v/>
      </c>
      <c r="J19" s="9"/>
      <c r="K19" s="4" t="str">
        <f>IF(OR($E19="",J19=""),"",$E19*J19)</f>
        <v/>
      </c>
      <c r="L19" s="9"/>
      <c r="M19" s="4" t="str">
        <f>IF(OR($E19="",L19=""),"",$E19*L19)</f>
        <v/>
      </c>
      <c r="N19" s="9"/>
      <c r="O19" s="4" t="str">
        <f>IF(OR($E19="",N19=""),"",$E19*N19)</f>
        <v/>
      </c>
      <c r="P19" s="9"/>
      <c r="Q19" s="4" t="str">
        <f>IF(OR($E19="",P19=""),"",$E19*P19)</f>
        <v/>
      </c>
      <c r="R19" s="10" t="str">
        <f>IF(MIN(IF(J19=0,9.9E+30,J19),IF(L19=0,9.9E+30,L19),IF(N19=0,9.9E+30,N19),IF(P19=0,9.9E+30,P19))&gt;9E+30,"",MIN(IF(J19=0,9.9E+30,J19),IF(L19=0,9.9E+30,L19),IF(N19=0,9.9E+30,N19),IF(P19=0,9.9E+30,P19)))</f>
        <v/>
      </c>
      <c r="S19" s="5" t="str">
        <f>IF($R19="","",IF(J19=$R19,$J$6,IF(L19=$R19,$L$6,IF(N19=$R19,$N$6,IF(P19=$R19,$P$6,"")))))</f>
        <v/>
      </c>
      <c r="T19" s="4" t="str">
        <f>IF(OR($R19="",$E19=""),"",$E19*$R19)</f>
        <v/>
      </c>
      <c r="U19" s="6" t="str">
        <f>IF(OR($F19="",$F19=0,$R19=""),"",$R19/$F19-1)</f>
        <v/>
      </c>
      <c r="V19" s="7"/>
    </row>
    <row r="20" spans="1:22" ht="15.75" thickBot="1" x14ac:dyDescent="0.3">
      <c r="A20" s="5">
        <v>37</v>
      </c>
      <c r="B20" s="7"/>
      <c r="C20" s="7"/>
      <c r="D20" s="8"/>
      <c r="E20" s="8"/>
      <c r="F20" s="9"/>
      <c r="G20" s="4" t="str">
        <f>IF(OR($E20="",$F20=""),"",$E20*$F20)</f>
        <v/>
      </c>
      <c r="H20" s="9"/>
      <c r="I20" s="4" t="str">
        <f>IF(OR($E20="",H20=""),"",$E20*H20)</f>
        <v/>
      </c>
      <c r="J20" s="9"/>
      <c r="K20" s="4" t="str">
        <f>IF(OR($E20="",J20=""),"",$E20*J20)</f>
        <v/>
      </c>
      <c r="L20" s="9"/>
      <c r="M20" s="4" t="str">
        <f>IF(OR($E20="",L20=""),"",$E20*L20)</f>
        <v/>
      </c>
      <c r="N20" s="9"/>
      <c r="O20" s="4" t="str">
        <f>IF(OR($E20="",N20=""),"",$E20*N20)</f>
        <v/>
      </c>
      <c r="P20" s="9"/>
      <c r="Q20" s="4" t="str">
        <f>IF(OR($E20="",P20=""),"",$E20*P20)</f>
        <v/>
      </c>
      <c r="R20" s="10" t="str">
        <f>IF(MIN(IF(J20=0,9.9E+30,J20),IF(L20=0,9.9E+30,L20),IF(N20=0,9.9E+30,N20),IF(P20=0,9.9E+30,P20))&gt;9E+30,"",MIN(IF(J20=0,9.9E+30,J20),IF(L20=0,9.9E+30,L20),IF(N20=0,9.9E+30,N20),IF(P20=0,9.9E+30,P20)))</f>
        <v/>
      </c>
      <c r="S20" s="5" t="str">
        <f>IF($R20="","",IF(J20=$R20,$J$6,IF(L20=$R20,$L$6,IF(N20=$R20,$N$6,IF(P20=$R20,$P$6,"")))))</f>
        <v/>
      </c>
      <c r="T20" s="4" t="str">
        <f>IF(OR($R20="",$E20=""),"",$E20*$R20)</f>
        <v/>
      </c>
      <c r="U20" s="6" t="str">
        <f>IF(OR($F20="",$F20=0,$R20=""),"",$R20/$F20-1)</f>
        <v/>
      </c>
      <c r="V20" s="7"/>
    </row>
    <row r="21" spans="1:22" x14ac:dyDescent="0.25">
      <c r="A21" s="67" t="s">
        <v>50</v>
      </c>
      <c r="B21" s="67"/>
      <c r="C21" s="67"/>
      <c r="D21" s="67"/>
      <c r="E21" s="67"/>
      <c r="F21" s="67"/>
      <c r="G21" s="11">
        <f>SUM(G17:G20)</f>
        <v>0</v>
      </c>
      <c r="H21" s="1"/>
      <c r="I21" s="11">
        <f>SUM(I17:I20)</f>
        <v>0</v>
      </c>
      <c r="J21" s="12"/>
      <c r="K21" s="11">
        <f>SUM(K17:K20)</f>
        <v>0</v>
      </c>
      <c r="L21" s="12"/>
      <c r="M21" s="11">
        <f>SUM(M17:M20)</f>
        <v>0</v>
      </c>
      <c r="N21" s="12"/>
      <c r="O21" s="11">
        <f>SUM(O17:O20)</f>
        <v>0</v>
      </c>
      <c r="P21" s="12"/>
      <c r="Q21" s="11">
        <f>SUM(Q17:Q20)</f>
        <v>0</v>
      </c>
      <c r="R21" s="12"/>
      <c r="S21" s="12"/>
      <c r="T21" s="11">
        <f>SUM(T17:T20)</f>
        <v>0</v>
      </c>
      <c r="U21" s="12"/>
      <c r="V21" s="12"/>
    </row>
  </sheetData>
  <mergeCells count="28">
    <mergeCell ref="R14:U14"/>
    <mergeCell ref="A16:V16"/>
    <mergeCell ref="A21:F21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6:J21">
    <cfRule type="expression" dxfId="39" priority="1">
      <formula>AND(J16&lt;&gt;"",J16=$R16)</formula>
    </cfRule>
    <cfRule type="expression" dxfId="38" priority="2">
      <formula>AND($E16&lt;&gt;"",J16="")</formula>
    </cfRule>
  </conditionalFormatting>
  <conditionalFormatting sqref="L16:L21">
    <cfRule type="expression" dxfId="37" priority="3">
      <formula>AND(L16&lt;&gt;"",L16=$R16)</formula>
    </cfRule>
    <cfRule type="expression" dxfId="36" priority="4">
      <formula>AND($E16&lt;&gt;"",L16="")</formula>
    </cfRule>
  </conditionalFormatting>
  <conditionalFormatting sqref="N16:N21">
    <cfRule type="expression" dxfId="35" priority="5">
      <formula>AND(N16&lt;&gt;"",N16=$R16)</formula>
    </cfRule>
    <cfRule type="expression" dxfId="34" priority="6">
      <formula>AND($E16&lt;&gt;"",N16="")</formula>
    </cfRule>
  </conditionalFormatting>
  <conditionalFormatting sqref="P16:P21">
    <cfRule type="expression" dxfId="33" priority="7">
      <formula>AND(P16&lt;&gt;"",P16=$R16)</formula>
    </cfRule>
    <cfRule type="expression" dxfId="32" priority="8">
      <formula>AND($E16&lt;&gt;"",P16="")</formula>
    </cfRule>
  </conditionalFormatting>
  <dataValidations count="2">
    <dataValidation type="list" allowBlank="1" sqref="D16:D21" xr:uid="{73B97395-9758-D346-971F-DAC94F9A380A}">
      <formula1>"Nos,Sqft,Sqm,Rft,Rmt,Kg,Ltr,Set,Cum,Job,LS"</formula1>
      <formula2>0</formula2>
    </dataValidation>
    <dataValidation type="list" allowBlank="1" showInputMessage="1" showErrorMessage="1" sqref="C13:D13" xr:uid="{61DD69AC-A456-2F4A-AC6A-051A146B271F}">
      <formula1>$Y$1:$Y$3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B2CA-69B9-DF49-B9D9-4071AE3D488E}">
  <sheetPr>
    <tabColor rgb="FF173B2E"/>
  </sheetPr>
  <dimension ref="A1:Y21"/>
  <sheetViews>
    <sheetView workbookViewId="0">
      <selection activeCell="H7" sqref="H7:I7"/>
    </sheetView>
  </sheetViews>
  <sheetFormatPr defaultColWidth="11.42578125" defaultRowHeight="15" x14ac:dyDescent="0.25"/>
  <sheetData>
    <row r="1" spans="1:25" ht="18.75" thickBot="1" x14ac:dyDescent="0.3">
      <c r="A1" s="37" t="s">
        <v>123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Y1" s="33" t="str">
        <f>J6</f>
        <v>Vendor 1 — name</v>
      </c>
    </row>
    <row r="2" spans="1:25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Y2" s="33" t="str">
        <f>L6</f>
        <v>Vendor 2 — name</v>
      </c>
    </row>
    <row r="3" spans="1:25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Y3" s="33" t="str">
        <f>N6</f>
        <v>Vendor 3 — name</v>
      </c>
    </row>
    <row r="5" spans="1:25" x14ac:dyDescent="0.25">
      <c r="A5" s="45" t="s">
        <v>124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5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5" x14ac:dyDescent="0.25">
      <c r="A7" s="44" t="s">
        <v>146</v>
      </c>
      <c r="B7" s="44"/>
      <c r="C7" s="44"/>
      <c r="D7" s="44"/>
      <c r="E7" s="44"/>
      <c r="F7" s="44"/>
      <c r="G7" s="4">
        <f>G21</f>
        <v>0</v>
      </c>
      <c r="H7" s="30"/>
      <c r="I7" s="4">
        <f>I21</f>
        <v>0</v>
      </c>
      <c r="K7" s="4">
        <f>K21</f>
        <v>0</v>
      </c>
      <c r="M7" s="4">
        <f>M21</f>
        <v>0</v>
      </c>
      <c r="O7" s="4">
        <f>O21</f>
        <v>0</v>
      </c>
      <c r="Q7" s="4">
        <f>Q21</f>
        <v>0</v>
      </c>
    </row>
    <row r="8" spans="1:25" x14ac:dyDescent="0.25">
      <c r="A8" s="54" t="s">
        <v>147</v>
      </c>
      <c r="B8" s="54"/>
      <c r="C8" s="54"/>
      <c r="D8" s="54"/>
      <c r="E8" s="54"/>
      <c r="F8" s="54"/>
      <c r="G8" s="14">
        <f>G7</f>
        <v>0</v>
      </c>
      <c r="H8" s="31"/>
      <c r="I8" s="14">
        <f>I7</f>
        <v>0</v>
      </c>
      <c r="K8" s="14">
        <f>K7</f>
        <v>0</v>
      </c>
      <c r="M8" s="14">
        <f>M7</f>
        <v>0</v>
      </c>
      <c r="O8" s="14">
        <f>O7</f>
        <v>0</v>
      </c>
      <c r="Q8" s="14">
        <f>Q7</f>
        <v>0</v>
      </c>
    </row>
    <row r="9" spans="1:25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4" t="str">
        <f>IF(I8=0,"",I8-$G$8)</f>
        <v/>
      </c>
      <c r="K9" s="4" t="str">
        <f>IF(K8=0,"",K8-$G$8)</f>
        <v/>
      </c>
      <c r="M9" s="4" t="str">
        <f>IF(M8=0,"",M8-$G$8)</f>
        <v/>
      </c>
      <c r="O9" s="4" t="str">
        <f>IF(O8=0,"",O8-$G$8)</f>
        <v/>
      </c>
      <c r="Q9" s="4" t="str">
        <f>IF(Q8=0,"",Q8-$G$8)</f>
        <v/>
      </c>
    </row>
    <row r="10" spans="1:25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6" t="str">
        <f>IF(OR(I8=0,$G$8=0),"",I8/$G$8-1)</f>
        <v/>
      </c>
      <c r="K10" s="6" t="str">
        <f>IF(OR(K8=0,$G$8=0),"",K8/$G$8-1)</f>
        <v/>
      </c>
      <c r="M10" s="6" t="str">
        <f>IF(OR(M8=0,$G$8=0),"",M8/$G$8-1)</f>
        <v/>
      </c>
      <c r="O10" s="6" t="str">
        <f>IF(OR(O8=0,$G$8=0),"",O8/$G$8-1)</f>
        <v/>
      </c>
      <c r="Q10" s="6" t="str">
        <f>IF(OR(Q8=0,$G$8=0),"",Q8/$G$8-1)</f>
        <v/>
      </c>
    </row>
    <row r="11" spans="1:25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5" t="s">
        <v>13</v>
      </c>
      <c r="K11" s="5" t="str">
        <f>IF(K8=0,"",1+IF(AND(M8&gt;0,M8&lt;K8),1,0)+IF(AND(O8&gt;0,O8&lt;K8),1,0)+IF(AND(Q8&gt;0,Q8&lt;K8),1,0))</f>
        <v/>
      </c>
      <c r="M11" s="5" t="str">
        <f>IF(M8=0,"",1+IF(AND(K8&gt;0,K8&lt;M8),1,0)+IF(AND(O8&gt;0,O8&lt;M8),1,0)+IF(AND(Q8&gt;0,Q8&lt;M8),1,0))</f>
        <v/>
      </c>
      <c r="O11" s="5" t="str">
        <f>IF(O8=0,"",1+IF(AND(K8&gt;0,K8&lt;O8),1,0)+IF(AND(M8&gt;0,M8&lt;O8),1,0)+IF(AND(Q8&gt;0,Q8&lt;O8),1,0))</f>
        <v/>
      </c>
      <c r="Q11" s="5" t="str">
        <f>IF(Q8=0,"",1+IF(AND(K8&gt;0,K8&lt;Q8),1,0)+IF(AND(M8&gt;0,M8&lt;Q8),1,0)+IF(AND(O8&gt;0,O8&lt;Q8),1,0))</f>
        <v/>
      </c>
    </row>
    <row r="12" spans="1:25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5" t="str">
        <f>IF(I8=0,"",COUNT($E$17:$E$20)-COUNT(H17:H20))</f>
        <v/>
      </c>
      <c r="K12" s="5" t="str">
        <f>IF(K8=0,"",COUNT($E$17:$E$20)-COUNT(J17:J20))</f>
        <v/>
      </c>
      <c r="M12" s="5" t="str">
        <f>IF(M8=0,"",COUNT($E$17:$E$20)-COUNT(L17:L20))</f>
        <v/>
      </c>
      <c r="O12" s="5" t="str">
        <f>IF(O8=0,"",COUNT($E$17:$E$20)-COUNT(N17:N20))</f>
        <v/>
      </c>
      <c r="Q12" s="5" t="str">
        <f>IF(Q8=0,"",COUNT($E$17:$E$20)-COUNT(P17:P20))</f>
        <v/>
      </c>
    </row>
    <row r="13" spans="1:25" x14ac:dyDescent="0.25">
      <c r="A13" s="34" t="s">
        <v>140</v>
      </c>
      <c r="C13" s="53"/>
      <c r="D13" s="53"/>
      <c r="F13" s="35" t="s">
        <v>150</v>
      </c>
      <c r="H13" s="36" t="str">
        <f>IF($C13="","",IF($C13=J6,K7,IF($C13=L6,M7,IF($C13=N6,O7,IF($C13=P6,Q7,"")))))</f>
        <v/>
      </c>
    </row>
    <row r="14" spans="1:25" x14ac:dyDescent="0.25">
      <c r="A14" s="48" t="s">
        <v>125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48"/>
      <c r="R14" s="48" t="s">
        <v>17</v>
      </c>
      <c r="S14" s="48"/>
      <c r="T14" s="48"/>
      <c r="U14" s="48"/>
      <c r="V14" s="13" t="s">
        <v>18</v>
      </c>
    </row>
    <row r="15" spans="1:25" ht="38.2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5" x14ac:dyDescent="0.25">
      <c r="A16" s="68" t="s">
        <v>51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 x14ac:dyDescent="0.25">
      <c r="A17" s="5">
        <v>38</v>
      </c>
      <c r="B17" s="7"/>
      <c r="C17" s="7"/>
      <c r="D17" s="8"/>
      <c r="E17" s="8"/>
      <c r="F17" s="9"/>
      <c r="G17" s="4" t="str">
        <f>IF(OR($E17="",$F17=""),"",$E17*$F17)</f>
        <v/>
      </c>
      <c r="H17" s="9"/>
      <c r="I17" s="4" t="str">
        <f>IF(OR($E17="",H17=""),"",$E17*H17)</f>
        <v/>
      </c>
      <c r="J17" s="9"/>
      <c r="K17" s="4" t="str">
        <f>IF(OR($E17="",J17=""),"",$E17*J17)</f>
        <v/>
      </c>
      <c r="L17" s="9"/>
      <c r="M17" s="4" t="str">
        <f>IF(OR($E17="",L17=""),"",$E17*L17)</f>
        <v/>
      </c>
      <c r="N17" s="9"/>
      <c r="O17" s="4" t="str">
        <f>IF(OR($E17="",N17=""),"",$E17*N17)</f>
        <v/>
      </c>
      <c r="P17" s="9"/>
      <c r="Q17" s="4" t="str">
        <f>IF(OR($E17="",P17=""),"",$E17*P17)</f>
        <v/>
      </c>
      <c r="R17" s="10" t="str">
        <f>IF(MIN(IF(J17=0,9.9E+30,J17),IF(L17=0,9.9E+30,L17),IF(N17=0,9.9E+30,N17),IF(P17=0,9.9E+30,P17))&gt;9E+30,"",MIN(IF(J17=0,9.9E+30,J17),IF(L17=0,9.9E+30,L17),IF(N17=0,9.9E+30,N17),IF(P17=0,9.9E+30,P17)))</f>
        <v/>
      </c>
      <c r="S17" s="5" t="str">
        <f>IF($R17="","",IF(J17=$R17,$J$6,IF(L17=$R17,$L$6,IF(N17=$R17,$N$6,IF(P17=$R17,$P$6,"")))))</f>
        <v/>
      </c>
      <c r="T17" s="4" t="str">
        <f>IF(OR($R17="",$E17=""),"",$E17*$R17)</f>
        <v/>
      </c>
      <c r="U17" s="6" t="str">
        <f>IF(OR($F17="",$F17=0,$R17=""),"",$R17/$F17-1)</f>
        <v/>
      </c>
      <c r="V17" s="7"/>
    </row>
    <row r="18" spans="1:22" x14ac:dyDescent="0.25">
      <c r="A18" s="5">
        <v>39</v>
      </c>
      <c r="B18" s="7"/>
      <c r="C18" s="7"/>
      <c r="D18" s="8"/>
      <c r="E18" s="8"/>
      <c r="F18" s="9"/>
      <c r="G18" s="4" t="str">
        <f>IF(OR($E18="",$F18=""),"",$E18*$F18)</f>
        <v/>
      </c>
      <c r="H18" s="9"/>
      <c r="I18" s="4" t="str">
        <f>IF(OR($E18="",H18=""),"",$E18*H18)</f>
        <v/>
      </c>
      <c r="J18" s="9"/>
      <c r="K18" s="4" t="str">
        <f>IF(OR($E18="",J18=""),"",$E18*J18)</f>
        <v/>
      </c>
      <c r="L18" s="9"/>
      <c r="M18" s="4" t="str">
        <f>IF(OR($E18="",L18=""),"",$E18*L18)</f>
        <v/>
      </c>
      <c r="N18" s="9"/>
      <c r="O18" s="4" t="str">
        <f>IF(OR($E18="",N18=""),"",$E18*N18)</f>
        <v/>
      </c>
      <c r="P18" s="9"/>
      <c r="Q18" s="4" t="str">
        <f>IF(OR($E18="",P18=""),"",$E18*P18)</f>
        <v/>
      </c>
      <c r="R18" s="10" t="str">
        <f>IF(MIN(IF(J18=0,9.9E+30,J18),IF(L18=0,9.9E+30,L18),IF(N18=0,9.9E+30,N18),IF(P18=0,9.9E+30,P18))&gt;9E+30,"",MIN(IF(J18=0,9.9E+30,J18),IF(L18=0,9.9E+30,L18),IF(N18=0,9.9E+30,N18),IF(P18=0,9.9E+30,P18)))</f>
        <v/>
      </c>
      <c r="S18" s="5" t="str">
        <f>IF($R18="","",IF(J18=$R18,$J$6,IF(L18=$R18,$L$6,IF(N18=$R18,$N$6,IF(P18=$R18,$P$6,"")))))</f>
        <v/>
      </c>
      <c r="T18" s="4" t="str">
        <f>IF(OR($R18="",$E18=""),"",$E18*$R18)</f>
        <v/>
      </c>
      <c r="U18" s="6" t="str">
        <f>IF(OR($F18="",$F18=0,$R18=""),"",$R18/$F18-1)</f>
        <v/>
      </c>
      <c r="V18" s="7"/>
    </row>
    <row r="19" spans="1:22" x14ac:dyDescent="0.25">
      <c r="A19" s="5">
        <v>40</v>
      </c>
      <c r="B19" s="7"/>
      <c r="C19" s="7"/>
      <c r="D19" s="8"/>
      <c r="E19" s="8"/>
      <c r="F19" s="9"/>
      <c r="G19" s="4" t="str">
        <f>IF(OR($E19="",$F19=""),"",$E19*$F19)</f>
        <v/>
      </c>
      <c r="H19" s="9"/>
      <c r="I19" s="4" t="str">
        <f>IF(OR($E19="",H19=""),"",$E19*H19)</f>
        <v/>
      </c>
      <c r="J19" s="9"/>
      <c r="K19" s="4" t="str">
        <f>IF(OR($E19="",J19=""),"",$E19*J19)</f>
        <v/>
      </c>
      <c r="L19" s="9"/>
      <c r="M19" s="4" t="str">
        <f>IF(OR($E19="",L19=""),"",$E19*L19)</f>
        <v/>
      </c>
      <c r="N19" s="9"/>
      <c r="O19" s="4" t="str">
        <f>IF(OR($E19="",N19=""),"",$E19*N19)</f>
        <v/>
      </c>
      <c r="P19" s="9"/>
      <c r="Q19" s="4" t="str">
        <f>IF(OR($E19="",P19=""),"",$E19*P19)</f>
        <v/>
      </c>
      <c r="R19" s="10" t="str">
        <f>IF(MIN(IF(J19=0,9.9E+30,J19),IF(L19=0,9.9E+30,L19),IF(N19=0,9.9E+30,N19),IF(P19=0,9.9E+30,P19))&gt;9E+30,"",MIN(IF(J19=0,9.9E+30,J19),IF(L19=0,9.9E+30,L19),IF(N19=0,9.9E+30,N19),IF(P19=0,9.9E+30,P19)))</f>
        <v/>
      </c>
      <c r="S19" s="5" t="str">
        <f>IF($R19="","",IF(J19=$R19,$J$6,IF(L19=$R19,$L$6,IF(N19=$R19,$N$6,IF(P19=$R19,$P$6,"")))))</f>
        <v/>
      </c>
      <c r="T19" s="4" t="str">
        <f>IF(OR($R19="",$E19=""),"",$E19*$R19)</f>
        <v/>
      </c>
      <c r="U19" s="6" t="str">
        <f>IF(OR($F19="",$F19=0,$R19=""),"",$R19/$F19-1)</f>
        <v/>
      </c>
      <c r="V19" s="7"/>
    </row>
    <row r="20" spans="1:22" ht="15.75" thickBot="1" x14ac:dyDescent="0.3">
      <c r="A20" s="5">
        <v>41</v>
      </c>
      <c r="B20" s="7"/>
      <c r="C20" s="7"/>
      <c r="D20" s="8"/>
      <c r="E20" s="8"/>
      <c r="F20" s="9"/>
      <c r="G20" s="4" t="str">
        <f>IF(OR($E20="",$F20=""),"",$E20*$F20)</f>
        <v/>
      </c>
      <c r="H20" s="9"/>
      <c r="I20" s="4" t="str">
        <f>IF(OR($E20="",H20=""),"",$E20*H20)</f>
        <v/>
      </c>
      <c r="J20" s="9"/>
      <c r="K20" s="4" t="str">
        <f>IF(OR($E20="",J20=""),"",$E20*J20)</f>
        <v/>
      </c>
      <c r="L20" s="9"/>
      <c r="M20" s="4" t="str">
        <f>IF(OR($E20="",L20=""),"",$E20*L20)</f>
        <v/>
      </c>
      <c r="N20" s="9"/>
      <c r="O20" s="4" t="str">
        <f>IF(OR($E20="",N20=""),"",$E20*N20)</f>
        <v/>
      </c>
      <c r="P20" s="9"/>
      <c r="Q20" s="4" t="str">
        <f>IF(OR($E20="",P20=""),"",$E20*P20)</f>
        <v/>
      </c>
      <c r="R20" s="10" t="str">
        <f>IF(MIN(IF(J20=0,9.9E+30,J20),IF(L20=0,9.9E+30,L20),IF(N20=0,9.9E+30,N20),IF(P20=0,9.9E+30,P20))&gt;9E+30,"",MIN(IF(J20=0,9.9E+30,J20),IF(L20=0,9.9E+30,L20),IF(N20=0,9.9E+30,N20),IF(P20=0,9.9E+30,P20)))</f>
        <v/>
      </c>
      <c r="S20" s="5" t="str">
        <f>IF($R20="","",IF(J20=$R20,$J$6,IF(L20=$R20,$L$6,IF(N20=$R20,$N$6,IF(P20=$R20,$P$6,"")))))</f>
        <v/>
      </c>
      <c r="T20" s="4" t="str">
        <f>IF(OR($R20="",$E20=""),"",$E20*$R20)</f>
        <v/>
      </c>
      <c r="U20" s="6" t="str">
        <f>IF(OR($F20="",$F20=0,$R20=""),"",$R20/$F20-1)</f>
        <v/>
      </c>
      <c r="V20" s="7"/>
    </row>
    <row r="21" spans="1:22" x14ac:dyDescent="0.25">
      <c r="A21" s="67" t="s">
        <v>52</v>
      </c>
      <c r="B21" s="67"/>
      <c r="C21" s="67"/>
      <c r="D21" s="67"/>
      <c r="E21" s="67"/>
      <c r="F21" s="67"/>
      <c r="G21" s="11">
        <f>SUM(G17:G20)</f>
        <v>0</v>
      </c>
      <c r="H21" s="1"/>
      <c r="I21" s="11">
        <f>SUM(I17:I20)</f>
        <v>0</v>
      </c>
      <c r="J21" s="12"/>
      <c r="K21" s="11">
        <f>SUM(K17:K20)</f>
        <v>0</v>
      </c>
      <c r="L21" s="12"/>
      <c r="M21" s="11">
        <f>SUM(M17:M20)</f>
        <v>0</v>
      </c>
      <c r="N21" s="12"/>
      <c r="O21" s="11">
        <f>SUM(O17:O20)</f>
        <v>0</v>
      </c>
      <c r="P21" s="12"/>
      <c r="Q21" s="11">
        <f>SUM(Q17:Q20)</f>
        <v>0</v>
      </c>
      <c r="R21" s="12"/>
      <c r="S21" s="12"/>
      <c r="T21" s="11">
        <f>SUM(T17:T20)</f>
        <v>0</v>
      </c>
      <c r="U21" s="12"/>
      <c r="V21" s="12"/>
    </row>
  </sheetData>
  <mergeCells count="28">
    <mergeCell ref="R14:U14"/>
    <mergeCell ref="A16:V16"/>
    <mergeCell ref="A21:F21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6:J21">
    <cfRule type="expression" dxfId="31" priority="1">
      <formula>AND(J16&lt;&gt;"",J16=$R16)</formula>
    </cfRule>
    <cfRule type="expression" dxfId="30" priority="2">
      <formula>AND($E16&lt;&gt;"",J16="")</formula>
    </cfRule>
  </conditionalFormatting>
  <conditionalFormatting sqref="L16:L21">
    <cfRule type="expression" dxfId="29" priority="3">
      <formula>AND(L16&lt;&gt;"",L16=$R16)</formula>
    </cfRule>
    <cfRule type="expression" dxfId="28" priority="4">
      <formula>AND($E16&lt;&gt;"",L16="")</formula>
    </cfRule>
  </conditionalFormatting>
  <conditionalFormatting sqref="N16:N21">
    <cfRule type="expression" dxfId="27" priority="5">
      <formula>AND(N16&lt;&gt;"",N16=$R16)</formula>
    </cfRule>
    <cfRule type="expression" dxfId="26" priority="6">
      <formula>AND($E16&lt;&gt;"",N16="")</formula>
    </cfRule>
  </conditionalFormatting>
  <conditionalFormatting sqref="P16:P21">
    <cfRule type="expression" dxfId="25" priority="7">
      <formula>AND(P16&lt;&gt;"",P16=$R16)</formula>
    </cfRule>
    <cfRule type="expression" dxfId="24" priority="8">
      <formula>AND($E16&lt;&gt;"",P16="")</formula>
    </cfRule>
  </conditionalFormatting>
  <dataValidations count="2">
    <dataValidation type="list" allowBlank="1" sqref="D16:D21" xr:uid="{1FB432F6-2D19-2B4F-8B2F-C60FC923C1A2}">
      <formula1>"Nos,Sqft,Sqm,Rft,Rmt,Kg,Ltr,Set,Cum,Job,LS"</formula1>
      <formula2>0</formula2>
    </dataValidation>
    <dataValidation type="list" allowBlank="1" showInputMessage="1" showErrorMessage="1" sqref="C13:D13" xr:uid="{5C6A8FF0-848E-8D41-B970-3337378A44AC}">
      <formula1>$Y$1:$Y$3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33ED-CECF-6040-9E06-3BFACB3FB2BB}">
  <sheetPr>
    <tabColor rgb="FF173B2E"/>
  </sheetPr>
  <dimension ref="A1:Y21"/>
  <sheetViews>
    <sheetView workbookViewId="0">
      <selection activeCell="H7" sqref="H7:I7"/>
    </sheetView>
  </sheetViews>
  <sheetFormatPr defaultColWidth="11.42578125" defaultRowHeight="15" x14ac:dyDescent="0.25"/>
  <sheetData>
    <row r="1" spans="1:25" ht="18.75" thickBot="1" x14ac:dyDescent="0.3">
      <c r="A1" s="37" t="s">
        <v>126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Y1" s="33" t="str">
        <f>J6</f>
        <v>Vendor 1 — name</v>
      </c>
    </row>
    <row r="2" spans="1:25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Y2" s="33" t="str">
        <f>L6</f>
        <v>Vendor 2 — name</v>
      </c>
    </row>
    <row r="3" spans="1:25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Y3" s="33" t="str">
        <f>N6</f>
        <v>Vendor 3 — name</v>
      </c>
    </row>
    <row r="5" spans="1:25" x14ac:dyDescent="0.25">
      <c r="A5" s="45" t="s">
        <v>127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5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5" x14ac:dyDescent="0.25">
      <c r="A7" s="44" t="s">
        <v>146</v>
      </c>
      <c r="B7" s="44"/>
      <c r="C7" s="44"/>
      <c r="D7" s="44"/>
      <c r="E7" s="44"/>
      <c r="F7" s="44"/>
      <c r="G7" s="4">
        <f>G21</f>
        <v>0</v>
      </c>
      <c r="H7" s="30"/>
      <c r="I7" s="4">
        <f>I21</f>
        <v>0</v>
      </c>
      <c r="K7" s="4">
        <f>K21</f>
        <v>0</v>
      </c>
      <c r="M7" s="4">
        <f>M21</f>
        <v>0</v>
      </c>
      <c r="O7" s="4">
        <f>O21</f>
        <v>0</v>
      </c>
      <c r="Q7" s="4">
        <f>Q21</f>
        <v>0</v>
      </c>
    </row>
    <row r="8" spans="1:25" x14ac:dyDescent="0.25">
      <c r="A8" s="54" t="s">
        <v>147</v>
      </c>
      <c r="B8" s="54"/>
      <c r="C8" s="54"/>
      <c r="D8" s="54"/>
      <c r="E8" s="54"/>
      <c r="F8" s="54"/>
      <c r="G8" s="14">
        <f>G7</f>
        <v>0</v>
      </c>
      <c r="H8" s="31"/>
      <c r="I8" s="14">
        <f>I7</f>
        <v>0</v>
      </c>
      <c r="K8" s="14">
        <f>K7</f>
        <v>0</v>
      </c>
      <c r="M8" s="14">
        <f>M7</f>
        <v>0</v>
      </c>
      <c r="O8" s="14">
        <f>O7</f>
        <v>0</v>
      </c>
      <c r="Q8" s="14">
        <f>Q7</f>
        <v>0</v>
      </c>
    </row>
    <row r="9" spans="1:25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4" t="str">
        <f>IF(I8=0,"",I8-$G$8)</f>
        <v/>
      </c>
      <c r="K9" s="4" t="str">
        <f>IF(K8=0,"",K8-$G$8)</f>
        <v/>
      </c>
      <c r="M9" s="4" t="str">
        <f>IF(M8=0,"",M8-$G$8)</f>
        <v/>
      </c>
      <c r="O9" s="4" t="str">
        <f>IF(O8=0,"",O8-$G$8)</f>
        <v/>
      </c>
      <c r="Q9" s="4" t="str">
        <f>IF(Q8=0,"",Q8-$G$8)</f>
        <v/>
      </c>
    </row>
    <row r="10" spans="1:25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6" t="str">
        <f>IF(OR(I8=0,$G$8=0),"",I8/$G$8-1)</f>
        <v/>
      </c>
      <c r="K10" s="6" t="str">
        <f>IF(OR(K8=0,$G$8=0),"",K8/$G$8-1)</f>
        <v/>
      </c>
      <c r="M10" s="6" t="str">
        <f>IF(OR(M8=0,$G$8=0),"",M8/$G$8-1)</f>
        <v/>
      </c>
      <c r="O10" s="6" t="str">
        <f>IF(OR(O8=0,$G$8=0),"",O8/$G$8-1)</f>
        <v/>
      </c>
      <c r="Q10" s="6" t="str">
        <f>IF(OR(Q8=0,$G$8=0),"",Q8/$G$8-1)</f>
        <v/>
      </c>
    </row>
    <row r="11" spans="1:25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5" t="s">
        <v>13</v>
      </c>
      <c r="K11" s="5" t="str">
        <f>IF(K8=0,"",1+IF(AND(M8&gt;0,M8&lt;K8),1,0)+IF(AND(O8&gt;0,O8&lt;K8),1,0)+IF(AND(Q8&gt;0,Q8&lt;K8),1,0))</f>
        <v/>
      </c>
      <c r="M11" s="5" t="str">
        <f>IF(M8=0,"",1+IF(AND(K8&gt;0,K8&lt;M8),1,0)+IF(AND(O8&gt;0,O8&lt;M8),1,0)+IF(AND(Q8&gt;0,Q8&lt;M8),1,0))</f>
        <v/>
      </c>
      <c r="O11" s="5" t="str">
        <f>IF(O8=0,"",1+IF(AND(K8&gt;0,K8&lt;O8),1,0)+IF(AND(M8&gt;0,M8&lt;O8),1,0)+IF(AND(Q8&gt;0,Q8&lt;O8),1,0))</f>
        <v/>
      </c>
      <c r="Q11" s="5" t="str">
        <f>IF(Q8=0,"",1+IF(AND(K8&gt;0,K8&lt;Q8),1,0)+IF(AND(M8&gt;0,M8&lt;Q8),1,0)+IF(AND(O8&gt;0,O8&lt;Q8),1,0))</f>
        <v/>
      </c>
    </row>
    <row r="12" spans="1:25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5" t="str">
        <f>IF(I8=0,"",COUNT($E$17:$E$20)-COUNT(H17:H20))</f>
        <v/>
      </c>
      <c r="K12" s="5" t="str">
        <f>IF(K8=0,"",COUNT($E$17:$E$20)-COUNT(J17:J20))</f>
        <v/>
      </c>
      <c r="M12" s="5" t="str">
        <f>IF(M8=0,"",COUNT($E$17:$E$20)-COUNT(L17:L20))</f>
        <v/>
      </c>
      <c r="O12" s="5" t="str">
        <f>IF(O8=0,"",COUNT($E$17:$E$20)-COUNT(N17:N20))</f>
        <v/>
      </c>
      <c r="Q12" s="5" t="str">
        <f>IF(Q8=0,"",COUNT($E$17:$E$20)-COUNT(P17:P20))</f>
        <v/>
      </c>
    </row>
    <row r="13" spans="1:25" x14ac:dyDescent="0.25">
      <c r="A13" s="34" t="s">
        <v>140</v>
      </c>
      <c r="C13" s="53"/>
      <c r="D13" s="53"/>
      <c r="F13" s="35" t="s">
        <v>150</v>
      </c>
      <c r="H13" s="36" t="str">
        <f>IF($C13="","",IF($C13=J6,K7,IF($C13=L6,M7,IF($C13=N6,O7,IF($C13=P6,Q7,"")))))</f>
        <v/>
      </c>
    </row>
    <row r="14" spans="1:25" x14ac:dyDescent="0.25">
      <c r="A14" s="48" t="s">
        <v>128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48"/>
      <c r="R14" s="48" t="s">
        <v>17</v>
      </c>
      <c r="S14" s="48"/>
      <c r="T14" s="48"/>
      <c r="U14" s="48"/>
      <c r="V14" s="13" t="s">
        <v>18</v>
      </c>
    </row>
    <row r="15" spans="1:25" ht="38.2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5" x14ac:dyDescent="0.25">
      <c r="A16" s="68" t="s">
        <v>53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 x14ac:dyDescent="0.25">
      <c r="A17" s="5">
        <v>42</v>
      </c>
      <c r="B17" s="7"/>
      <c r="C17" s="7"/>
      <c r="D17" s="8"/>
      <c r="E17" s="8"/>
      <c r="F17" s="9"/>
      <c r="G17" s="4" t="str">
        <f>IF(OR($E17="",$F17=""),"",$E17*$F17)</f>
        <v/>
      </c>
      <c r="H17" s="9"/>
      <c r="I17" s="4" t="str">
        <f>IF(OR($E17="",H17=""),"",$E17*H17)</f>
        <v/>
      </c>
      <c r="J17" s="9"/>
      <c r="K17" s="4" t="str">
        <f>IF(OR($E17="",J17=""),"",$E17*J17)</f>
        <v/>
      </c>
      <c r="L17" s="9"/>
      <c r="M17" s="4" t="str">
        <f>IF(OR($E17="",L17=""),"",$E17*L17)</f>
        <v/>
      </c>
      <c r="N17" s="9"/>
      <c r="O17" s="4" t="str">
        <f>IF(OR($E17="",N17=""),"",$E17*N17)</f>
        <v/>
      </c>
      <c r="P17" s="9"/>
      <c r="Q17" s="4" t="str">
        <f>IF(OR($E17="",P17=""),"",$E17*P17)</f>
        <v/>
      </c>
      <c r="R17" s="10" t="str">
        <f>IF(MIN(IF(J17=0,9.9E+30,J17),IF(L17=0,9.9E+30,L17),IF(N17=0,9.9E+30,N17),IF(P17=0,9.9E+30,P17))&gt;9E+30,"",MIN(IF(J17=0,9.9E+30,J17),IF(L17=0,9.9E+30,L17),IF(N17=0,9.9E+30,N17),IF(P17=0,9.9E+30,P17)))</f>
        <v/>
      </c>
      <c r="S17" s="5" t="str">
        <f>IF($R17="","",IF(J17=$R17,$J$6,IF(L17=$R17,$L$6,IF(N17=$R17,$N$6,IF(P17=$R17,$P$6,"")))))</f>
        <v/>
      </c>
      <c r="T17" s="4" t="str">
        <f>IF(OR($R17="",$E17=""),"",$E17*$R17)</f>
        <v/>
      </c>
      <c r="U17" s="6" t="str">
        <f>IF(OR($F17="",$F17=0,$R17=""),"",$R17/$F17-1)</f>
        <v/>
      </c>
      <c r="V17" s="7"/>
    </row>
    <row r="18" spans="1:22" x14ac:dyDescent="0.25">
      <c r="A18" s="5">
        <v>43</v>
      </c>
      <c r="B18" s="7"/>
      <c r="C18" s="7"/>
      <c r="D18" s="8"/>
      <c r="E18" s="8"/>
      <c r="F18" s="9"/>
      <c r="G18" s="4" t="str">
        <f>IF(OR($E18="",$F18=""),"",$E18*$F18)</f>
        <v/>
      </c>
      <c r="H18" s="9"/>
      <c r="I18" s="4" t="str">
        <f>IF(OR($E18="",H18=""),"",$E18*H18)</f>
        <v/>
      </c>
      <c r="J18" s="9"/>
      <c r="K18" s="4" t="str">
        <f>IF(OR($E18="",J18=""),"",$E18*J18)</f>
        <v/>
      </c>
      <c r="L18" s="9"/>
      <c r="M18" s="4" t="str">
        <f>IF(OR($E18="",L18=""),"",$E18*L18)</f>
        <v/>
      </c>
      <c r="N18" s="9"/>
      <c r="O18" s="4" t="str">
        <f>IF(OR($E18="",N18=""),"",$E18*N18)</f>
        <v/>
      </c>
      <c r="P18" s="9"/>
      <c r="Q18" s="4" t="str">
        <f>IF(OR($E18="",P18=""),"",$E18*P18)</f>
        <v/>
      </c>
      <c r="R18" s="10" t="str">
        <f>IF(MIN(IF(J18=0,9.9E+30,J18),IF(L18=0,9.9E+30,L18),IF(N18=0,9.9E+30,N18),IF(P18=0,9.9E+30,P18))&gt;9E+30,"",MIN(IF(J18=0,9.9E+30,J18),IF(L18=0,9.9E+30,L18),IF(N18=0,9.9E+30,N18),IF(P18=0,9.9E+30,P18)))</f>
        <v/>
      </c>
      <c r="S18" s="5" t="str">
        <f>IF($R18="","",IF(J18=$R18,$J$6,IF(L18=$R18,$L$6,IF(N18=$R18,$N$6,IF(P18=$R18,$P$6,"")))))</f>
        <v/>
      </c>
      <c r="T18" s="4" t="str">
        <f>IF(OR($R18="",$E18=""),"",$E18*$R18)</f>
        <v/>
      </c>
      <c r="U18" s="6" t="str">
        <f>IF(OR($F18="",$F18=0,$R18=""),"",$R18/$F18-1)</f>
        <v/>
      </c>
      <c r="V18" s="7"/>
    </row>
    <row r="19" spans="1:22" x14ac:dyDescent="0.25">
      <c r="A19" s="5">
        <v>44</v>
      </c>
      <c r="B19" s="7"/>
      <c r="C19" s="7"/>
      <c r="D19" s="8"/>
      <c r="E19" s="8"/>
      <c r="F19" s="9"/>
      <c r="G19" s="4" t="str">
        <f>IF(OR($E19="",$F19=""),"",$E19*$F19)</f>
        <v/>
      </c>
      <c r="H19" s="9"/>
      <c r="I19" s="4" t="str">
        <f>IF(OR($E19="",H19=""),"",$E19*H19)</f>
        <v/>
      </c>
      <c r="J19" s="9"/>
      <c r="K19" s="4" t="str">
        <f>IF(OR($E19="",J19=""),"",$E19*J19)</f>
        <v/>
      </c>
      <c r="L19" s="9"/>
      <c r="M19" s="4" t="str">
        <f>IF(OR($E19="",L19=""),"",$E19*L19)</f>
        <v/>
      </c>
      <c r="N19" s="9"/>
      <c r="O19" s="4" t="str">
        <f>IF(OR($E19="",N19=""),"",$E19*N19)</f>
        <v/>
      </c>
      <c r="P19" s="9"/>
      <c r="Q19" s="4" t="str">
        <f>IF(OR($E19="",P19=""),"",$E19*P19)</f>
        <v/>
      </c>
      <c r="R19" s="10" t="str">
        <f>IF(MIN(IF(J19=0,9.9E+30,J19),IF(L19=0,9.9E+30,L19),IF(N19=0,9.9E+30,N19),IF(P19=0,9.9E+30,P19))&gt;9E+30,"",MIN(IF(J19=0,9.9E+30,J19),IF(L19=0,9.9E+30,L19),IF(N19=0,9.9E+30,N19),IF(P19=0,9.9E+30,P19)))</f>
        <v/>
      </c>
      <c r="S19" s="5" t="str">
        <f>IF($R19="","",IF(J19=$R19,$J$6,IF(L19=$R19,$L$6,IF(N19=$R19,$N$6,IF(P19=$R19,$P$6,"")))))</f>
        <v/>
      </c>
      <c r="T19" s="4" t="str">
        <f>IF(OR($R19="",$E19=""),"",$E19*$R19)</f>
        <v/>
      </c>
      <c r="U19" s="6" t="str">
        <f>IF(OR($F19="",$F19=0,$R19=""),"",$R19/$F19-1)</f>
        <v/>
      </c>
      <c r="V19" s="7"/>
    </row>
    <row r="20" spans="1:22" ht="15.75" thickBot="1" x14ac:dyDescent="0.3">
      <c r="A20" s="5">
        <v>45</v>
      </c>
      <c r="B20" s="7"/>
      <c r="C20" s="7"/>
      <c r="D20" s="8"/>
      <c r="E20" s="8"/>
      <c r="F20" s="9"/>
      <c r="G20" s="4" t="str">
        <f>IF(OR($E20="",$F20=""),"",$E20*$F20)</f>
        <v/>
      </c>
      <c r="H20" s="9"/>
      <c r="I20" s="4" t="str">
        <f>IF(OR($E20="",H20=""),"",$E20*H20)</f>
        <v/>
      </c>
      <c r="J20" s="9"/>
      <c r="K20" s="4" t="str">
        <f>IF(OR($E20="",J20=""),"",$E20*J20)</f>
        <v/>
      </c>
      <c r="L20" s="9"/>
      <c r="M20" s="4" t="str">
        <f>IF(OR($E20="",L20=""),"",$E20*L20)</f>
        <v/>
      </c>
      <c r="N20" s="9"/>
      <c r="O20" s="4" t="str">
        <f>IF(OR($E20="",N20=""),"",$E20*N20)</f>
        <v/>
      </c>
      <c r="P20" s="9"/>
      <c r="Q20" s="4" t="str">
        <f>IF(OR($E20="",P20=""),"",$E20*P20)</f>
        <v/>
      </c>
      <c r="R20" s="10" t="str">
        <f>IF(MIN(IF(J20=0,9.9E+30,J20),IF(L20=0,9.9E+30,L20),IF(N20=0,9.9E+30,N20),IF(P20=0,9.9E+30,P20))&gt;9E+30,"",MIN(IF(J20=0,9.9E+30,J20),IF(L20=0,9.9E+30,L20),IF(N20=0,9.9E+30,N20),IF(P20=0,9.9E+30,P20)))</f>
        <v/>
      </c>
      <c r="S20" s="5" t="str">
        <f>IF($R20="","",IF(J20=$R20,$J$6,IF(L20=$R20,$L$6,IF(N20=$R20,$N$6,IF(P20=$R20,$P$6,"")))))</f>
        <v/>
      </c>
      <c r="T20" s="4" t="str">
        <f>IF(OR($R20="",$E20=""),"",$E20*$R20)</f>
        <v/>
      </c>
      <c r="U20" s="6" t="str">
        <f>IF(OR($F20="",$F20=0,$R20=""),"",$R20/$F20-1)</f>
        <v/>
      </c>
      <c r="V20" s="7"/>
    </row>
    <row r="21" spans="1:22" x14ac:dyDescent="0.25">
      <c r="A21" s="67" t="s">
        <v>54</v>
      </c>
      <c r="B21" s="67"/>
      <c r="C21" s="67"/>
      <c r="D21" s="67"/>
      <c r="E21" s="67"/>
      <c r="F21" s="67"/>
      <c r="G21" s="11">
        <f>SUM(G17:G20)</f>
        <v>0</v>
      </c>
      <c r="H21" s="1"/>
      <c r="I21" s="11">
        <f>SUM(I17:I20)</f>
        <v>0</v>
      </c>
      <c r="J21" s="12"/>
      <c r="K21" s="11">
        <f>SUM(K17:K20)</f>
        <v>0</v>
      </c>
      <c r="L21" s="12"/>
      <c r="M21" s="11">
        <f>SUM(M17:M20)</f>
        <v>0</v>
      </c>
      <c r="N21" s="12"/>
      <c r="O21" s="11">
        <f>SUM(O17:O20)</f>
        <v>0</v>
      </c>
      <c r="P21" s="12"/>
      <c r="Q21" s="11">
        <f>SUM(Q17:Q20)</f>
        <v>0</v>
      </c>
      <c r="R21" s="12"/>
      <c r="S21" s="12"/>
      <c r="T21" s="11">
        <f>SUM(T17:T20)</f>
        <v>0</v>
      </c>
      <c r="U21" s="12"/>
      <c r="V21" s="12"/>
    </row>
  </sheetData>
  <mergeCells count="28">
    <mergeCell ref="R14:U14"/>
    <mergeCell ref="A16:V16"/>
    <mergeCell ref="A21:F21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6:J21">
    <cfRule type="expression" dxfId="23" priority="1">
      <formula>AND(J16&lt;&gt;"",J16=$R16)</formula>
    </cfRule>
    <cfRule type="expression" dxfId="22" priority="2">
      <formula>AND($E16&lt;&gt;"",J16="")</formula>
    </cfRule>
  </conditionalFormatting>
  <conditionalFormatting sqref="L16:L21">
    <cfRule type="expression" dxfId="21" priority="3">
      <formula>AND(L16&lt;&gt;"",L16=$R16)</formula>
    </cfRule>
    <cfRule type="expression" dxfId="20" priority="4">
      <formula>AND($E16&lt;&gt;"",L16="")</formula>
    </cfRule>
  </conditionalFormatting>
  <conditionalFormatting sqref="N16:N21">
    <cfRule type="expression" dxfId="19" priority="5">
      <formula>AND(N16&lt;&gt;"",N16=$R16)</formula>
    </cfRule>
    <cfRule type="expression" dxfId="18" priority="6">
      <formula>AND($E16&lt;&gt;"",N16="")</formula>
    </cfRule>
  </conditionalFormatting>
  <conditionalFormatting sqref="P16:P21">
    <cfRule type="expression" dxfId="17" priority="7">
      <formula>AND(P16&lt;&gt;"",P16=$R16)</formula>
    </cfRule>
    <cfRule type="expression" dxfId="16" priority="8">
      <formula>AND($E16&lt;&gt;"",P16="")</formula>
    </cfRule>
  </conditionalFormatting>
  <dataValidations count="2">
    <dataValidation type="list" allowBlank="1" sqref="D16:D21" xr:uid="{1687F046-2380-2343-BD72-97804B95E748}">
      <formula1>"Nos,Sqft,Sqm,Rft,Rmt,Kg,Ltr,Set,Cum,Job,LS"</formula1>
      <formula2>0</formula2>
    </dataValidation>
    <dataValidation type="list" allowBlank="1" showInputMessage="1" showErrorMessage="1" sqref="C13:D13" xr:uid="{A732E122-B8F2-7440-89C5-D92CAF250CE8}">
      <formula1>$Y$1:$Y$3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9623-8E21-C142-ACC3-55FAC53A8445}">
  <sheetPr>
    <tabColor rgb="FF173B2E"/>
  </sheetPr>
  <dimension ref="A1:Y21"/>
  <sheetViews>
    <sheetView workbookViewId="0">
      <selection activeCell="H7" sqref="H7:I7"/>
    </sheetView>
  </sheetViews>
  <sheetFormatPr defaultColWidth="11.42578125" defaultRowHeight="15" x14ac:dyDescent="0.25"/>
  <sheetData>
    <row r="1" spans="1:25" ht="18.75" thickBot="1" x14ac:dyDescent="0.3">
      <c r="A1" s="37" t="s">
        <v>129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Y1" s="33" t="str">
        <f>J6</f>
        <v>Vendor 1 — name</v>
      </c>
    </row>
    <row r="2" spans="1:25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Y2" s="33" t="str">
        <f>L6</f>
        <v>Vendor 2 — name</v>
      </c>
    </row>
    <row r="3" spans="1:25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Y3" s="33" t="str">
        <f>N6</f>
        <v>Vendor 3 — name</v>
      </c>
    </row>
    <row r="5" spans="1:25" x14ac:dyDescent="0.25">
      <c r="A5" s="45" t="s">
        <v>130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5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5" x14ac:dyDescent="0.25">
      <c r="A7" s="44" t="s">
        <v>146</v>
      </c>
      <c r="B7" s="44"/>
      <c r="C7" s="44"/>
      <c r="D7" s="44"/>
      <c r="E7" s="44"/>
      <c r="F7" s="44"/>
      <c r="G7" s="4">
        <f>G21</f>
        <v>0</v>
      </c>
      <c r="H7" s="30"/>
      <c r="I7" s="4">
        <f>I21</f>
        <v>0</v>
      </c>
      <c r="K7" s="4">
        <f>K21</f>
        <v>0</v>
      </c>
      <c r="M7" s="4">
        <f>M21</f>
        <v>0</v>
      </c>
      <c r="O7" s="4">
        <f>O21</f>
        <v>0</v>
      </c>
      <c r="Q7" s="4">
        <f>Q21</f>
        <v>0</v>
      </c>
    </row>
    <row r="8" spans="1:25" x14ac:dyDescent="0.25">
      <c r="A8" s="54" t="s">
        <v>147</v>
      </c>
      <c r="B8" s="54"/>
      <c r="C8" s="54"/>
      <c r="D8" s="54"/>
      <c r="E8" s="54"/>
      <c r="F8" s="54"/>
      <c r="G8" s="14">
        <f>G7</f>
        <v>0</v>
      </c>
      <c r="H8" s="31"/>
      <c r="I8" s="14">
        <f>I7</f>
        <v>0</v>
      </c>
      <c r="K8" s="14">
        <f>K7</f>
        <v>0</v>
      </c>
      <c r="M8" s="14">
        <f>M7</f>
        <v>0</v>
      </c>
      <c r="O8" s="14">
        <f>O7</f>
        <v>0</v>
      </c>
      <c r="Q8" s="14">
        <f>Q7</f>
        <v>0</v>
      </c>
    </row>
    <row r="9" spans="1:25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4" t="str">
        <f>IF(I8=0,"",I8-$G$8)</f>
        <v/>
      </c>
      <c r="K9" s="4" t="str">
        <f>IF(K8=0,"",K8-$G$8)</f>
        <v/>
      </c>
      <c r="M9" s="4" t="str">
        <f>IF(M8=0,"",M8-$G$8)</f>
        <v/>
      </c>
      <c r="O9" s="4" t="str">
        <f>IF(O8=0,"",O8-$G$8)</f>
        <v/>
      </c>
      <c r="Q9" s="4" t="str">
        <f>IF(Q8=0,"",Q8-$G$8)</f>
        <v/>
      </c>
    </row>
    <row r="10" spans="1:25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6" t="str">
        <f>IF(OR(I8=0,$G$8=0),"",I8/$G$8-1)</f>
        <v/>
      </c>
      <c r="K10" s="6" t="str">
        <f>IF(OR(K8=0,$G$8=0),"",K8/$G$8-1)</f>
        <v/>
      </c>
      <c r="M10" s="6" t="str">
        <f>IF(OR(M8=0,$G$8=0),"",M8/$G$8-1)</f>
        <v/>
      </c>
      <c r="O10" s="6" t="str">
        <f>IF(OR(O8=0,$G$8=0),"",O8/$G$8-1)</f>
        <v/>
      </c>
      <c r="Q10" s="6" t="str">
        <f>IF(OR(Q8=0,$G$8=0),"",Q8/$G$8-1)</f>
        <v/>
      </c>
    </row>
    <row r="11" spans="1:25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5" t="s">
        <v>13</v>
      </c>
      <c r="K11" s="5" t="str">
        <f>IF(K8=0,"",1+IF(AND(M8&gt;0,M8&lt;K8),1,0)+IF(AND(O8&gt;0,O8&lt;K8),1,0)+IF(AND(Q8&gt;0,Q8&lt;K8),1,0))</f>
        <v/>
      </c>
      <c r="M11" s="5" t="str">
        <f>IF(M8=0,"",1+IF(AND(K8&gt;0,K8&lt;M8),1,0)+IF(AND(O8&gt;0,O8&lt;M8),1,0)+IF(AND(Q8&gt;0,Q8&lt;M8),1,0))</f>
        <v/>
      </c>
      <c r="O11" s="5" t="str">
        <f>IF(O8=0,"",1+IF(AND(K8&gt;0,K8&lt;O8),1,0)+IF(AND(M8&gt;0,M8&lt;O8),1,0)+IF(AND(Q8&gt;0,Q8&lt;O8),1,0))</f>
        <v/>
      </c>
      <c r="Q11" s="5" t="str">
        <f>IF(Q8=0,"",1+IF(AND(K8&gt;0,K8&lt;Q8),1,0)+IF(AND(M8&gt;0,M8&lt;Q8),1,0)+IF(AND(O8&gt;0,O8&lt;Q8),1,0))</f>
        <v/>
      </c>
    </row>
    <row r="12" spans="1:25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5" t="str">
        <f>IF(I8=0,"",COUNT($E$17:$E$20)-COUNT(H17:H20))</f>
        <v/>
      </c>
      <c r="K12" s="5" t="str">
        <f>IF(K8=0,"",COUNT($E$17:$E$20)-COUNT(J17:J20))</f>
        <v/>
      </c>
      <c r="M12" s="5" t="str">
        <f>IF(M8=0,"",COUNT($E$17:$E$20)-COUNT(L17:L20))</f>
        <v/>
      </c>
      <c r="O12" s="5" t="str">
        <f>IF(O8=0,"",COUNT($E$17:$E$20)-COUNT(N17:N20))</f>
        <v/>
      </c>
      <c r="Q12" s="5" t="str">
        <f>IF(Q8=0,"",COUNT($E$17:$E$20)-COUNT(P17:P20))</f>
        <v/>
      </c>
    </row>
    <row r="13" spans="1:25" x14ac:dyDescent="0.25">
      <c r="A13" s="34" t="s">
        <v>140</v>
      </c>
      <c r="C13" s="53"/>
      <c r="D13" s="53"/>
      <c r="F13" s="35" t="s">
        <v>150</v>
      </c>
      <c r="H13" s="36" t="str">
        <f>IF($C13="","",IF($C13=J6,K7,IF($C13=L6,M7,IF($C13=N6,O7,IF($C13=P6,Q7,"")))))</f>
        <v/>
      </c>
    </row>
    <row r="14" spans="1:25" x14ac:dyDescent="0.25">
      <c r="A14" s="48" t="s">
        <v>131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48"/>
      <c r="R14" s="48" t="s">
        <v>17</v>
      </c>
      <c r="S14" s="48"/>
      <c r="T14" s="48"/>
      <c r="U14" s="48"/>
      <c r="V14" s="13" t="s">
        <v>18</v>
      </c>
    </row>
    <row r="15" spans="1:25" ht="38.2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5" x14ac:dyDescent="0.25">
      <c r="A16" s="68" t="s">
        <v>55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 x14ac:dyDescent="0.25">
      <c r="A17" s="5">
        <v>46</v>
      </c>
      <c r="B17" s="7"/>
      <c r="C17" s="7"/>
      <c r="D17" s="8"/>
      <c r="E17" s="8"/>
      <c r="F17" s="9"/>
      <c r="G17" s="4" t="str">
        <f>IF(OR($E17="",$F17=""),"",$E17*$F17)</f>
        <v/>
      </c>
      <c r="H17" s="9"/>
      <c r="I17" s="4" t="str">
        <f>IF(OR($E17="",H17=""),"",$E17*H17)</f>
        <v/>
      </c>
      <c r="J17" s="9"/>
      <c r="K17" s="4" t="str">
        <f>IF(OR($E17="",J17=""),"",$E17*J17)</f>
        <v/>
      </c>
      <c r="L17" s="9"/>
      <c r="M17" s="4" t="str">
        <f>IF(OR($E17="",L17=""),"",$E17*L17)</f>
        <v/>
      </c>
      <c r="N17" s="9"/>
      <c r="O17" s="4" t="str">
        <f>IF(OR($E17="",N17=""),"",$E17*N17)</f>
        <v/>
      </c>
      <c r="P17" s="9"/>
      <c r="Q17" s="4" t="str">
        <f>IF(OR($E17="",P17=""),"",$E17*P17)</f>
        <v/>
      </c>
      <c r="R17" s="10" t="str">
        <f>IF(MIN(IF(J17=0,9.9E+30,J17),IF(L17=0,9.9E+30,L17),IF(N17=0,9.9E+30,N17),IF(P17=0,9.9E+30,P17))&gt;9E+30,"",MIN(IF(J17=0,9.9E+30,J17),IF(L17=0,9.9E+30,L17),IF(N17=0,9.9E+30,N17),IF(P17=0,9.9E+30,P17)))</f>
        <v/>
      </c>
      <c r="S17" s="5" t="str">
        <f>IF($R17="","",IF(J17=$R17,$J$6,IF(L17=$R17,$L$6,IF(N17=$R17,$N$6,IF(P17=$R17,$P$6,"")))))</f>
        <v/>
      </c>
      <c r="T17" s="4" t="str">
        <f>IF(OR($R17="",$E17=""),"",$E17*$R17)</f>
        <v/>
      </c>
      <c r="U17" s="6" t="str">
        <f>IF(OR($F17="",$F17=0,$R17=""),"",$R17/$F17-1)</f>
        <v/>
      </c>
      <c r="V17" s="7"/>
    </row>
    <row r="18" spans="1:22" x14ac:dyDescent="0.25">
      <c r="A18" s="5">
        <v>47</v>
      </c>
      <c r="B18" s="7"/>
      <c r="C18" s="7"/>
      <c r="D18" s="8"/>
      <c r="E18" s="8"/>
      <c r="F18" s="9"/>
      <c r="G18" s="4" t="str">
        <f>IF(OR($E18="",$F18=""),"",$E18*$F18)</f>
        <v/>
      </c>
      <c r="H18" s="9"/>
      <c r="I18" s="4" t="str">
        <f>IF(OR($E18="",H18=""),"",$E18*H18)</f>
        <v/>
      </c>
      <c r="J18" s="9"/>
      <c r="K18" s="4" t="str">
        <f>IF(OR($E18="",J18=""),"",$E18*J18)</f>
        <v/>
      </c>
      <c r="L18" s="9"/>
      <c r="M18" s="4" t="str">
        <f>IF(OR($E18="",L18=""),"",$E18*L18)</f>
        <v/>
      </c>
      <c r="N18" s="9"/>
      <c r="O18" s="4" t="str">
        <f>IF(OR($E18="",N18=""),"",$E18*N18)</f>
        <v/>
      </c>
      <c r="P18" s="9"/>
      <c r="Q18" s="4" t="str">
        <f>IF(OR($E18="",P18=""),"",$E18*P18)</f>
        <v/>
      </c>
      <c r="R18" s="10" t="str">
        <f>IF(MIN(IF(J18=0,9.9E+30,J18),IF(L18=0,9.9E+30,L18),IF(N18=0,9.9E+30,N18),IF(P18=0,9.9E+30,P18))&gt;9E+30,"",MIN(IF(J18=0,9.9E+30,J18),IF(L18=0,9.9E+30,L18),IF(N18=0,9.9E+30,N18),IF(P18=0,9.9E+30,P18)))</f>
        <v/>
      </c>
      <c r="S18" s="5" t="str">
        <f>IF($R18="","",IF(J18=$R18,$J$6,IF(L18=$R18,$L$6,IF(N18=$R18,$N$6,IF(P18=$R18,$P$6,"")))))</f>
        <v/>
      </c>
      <c r="T18" s="4" t="str">
        <f>IF(OR($R18="",$E18=""),"",$E18*$R18)</f>
        <v/>
      </c>
      <c r="U18" s="6" t="str">
        <f>IF(OR($F18="",$F18=0,$R18=""),"",$R18/$F18-1)</f>
        <v/>
      </c>
      <c r="V18" s="7"/>
    </row>
    <row r="19" spans="1:22" x14ac:dyDescent="0.25">
      <c r="A19" s="5">
        <v>48</v>
      </c>
      <c r="B19" s="7"/>
      <c r="C19" s="7"/>
      <c r="D19" s="8"/>
      <c r="E19" s="8"/>
      <c r="F19" s="9"/>
      <c r="G19" s="4" t="str">
        <f>IF(OR($E19="",$F19=""),"",$E19*$F19)</f>
        <v/>
      </c>
      <c r="H19" s="9"/>
      <c r="I19" s="4" t="str">
        <f>IF(OR($E19="",H19=""),"",$E19*H19)</f>
        <v/>
      </c>
      <c r="J19" s="9"/>
      <c r="K19" s="4" t="str">
        <f>IF(OR($E19="",J19=""),"",$E19*J19)</f>
        <v/>
      </c>
      <c r="L19" s="9"/>
      <c r="M19" s="4" t="str">
        <f>IF(OR($E19="",L19=""),"",$E19*L19)</f>
        <v/>
      </c>
      <c r="N19" s="9"/>
      <c r="O19" s="4" t="str">
        <f>IF(OR($E19="",N19=""),"",$E19*N19)</f>
        <v/>
      </c>
      <c r="P19" s="9"/>
      <c r="Q19" s="4" t="str">
        <f>IF(OR($E19="",P19=""),"",$E19*P19)</f>
        <v/>
      </c>
      <c r="R19" s="10" t="str">
        <f>IF(MIN(IF(J19=0,9.9E+30,J19),IF(L19=0,9.9E+30,L19),IF(N19=0,9.9E+30,N19),IF(P19=0,9.9E+30,P19))&gt;9E+30,"",MIN(IF(J19=0,9.9E+30,J19),IF(L19=0,9.9E+30,L19),IF(N19=0,9.9E+30,N19),IF(P19=0,9.9E+30,P19)))</f>
        <v/>
      </c>
      <c r="S19" s="5" t="str">
        <f>IF($R19="","",IF(J19=$R19,$J$6,IF(L19=$R19,$L$6,IF(N19=$R19,$N$6,IF(P19=$R19,$P$6,"")))))</f>
        <v/>
      </c>
      <c r="T19" s="4" t="str">
        <f>IF(OR($R19="",$E19=""),"",$E19*$R19)</f>
        <v/>
      </c>
      <c r="U19" s="6" t="str">
        <f>IF(OR($F19="",$F19=0,$R19=""),"",$R19/$F19-1)</f>
        <v/>
      </c>
      <c r="V19" s="7"/>
    </row>
    <row r="20" spans="1:22" ht="15.75" thickBot="1" x14ac:dyDescent="0.3">
      <c r="A20" s="5">
        <v>49</v>
      </c>
      <c r="B20" s="7"/>
      <c r="C20" s="7"/>
      <c r="D20" s="8"/>
      <c r="E20" s="8"/>
      <c r="F20" s="9"/>
      <c r="G20" s="4" t="str">
        <f>IF(OR($E20="",$F20=""),"",$E20*$F20)</f>
        <v/>
      </c>
      <c r="H20" s="9"/>
      <c r="I20" s="4" t="str">
        <f>IF(OR($E20="",H20=""),"",$E20*H20)</f>
        <v/>
      </c>
      <c r="J20" s="9"/>
      <c r="K20" s="4" t="str">
        <f>IF(OR($E20="",J20=""),"",$E20*J20)</f>
        <v/>
      </c>
      <c r="L20" s="9"/>
      <c r="M20" s="4" t="str">
        <f>IF(OR($E20="",L20=""),"",$E20*L20)</f>
        <v/>
      </c>
      <c r="N20" s="9"/>
      <c r="O20" s="4" t="str">
        <f>IF(OR($E20="",N20=""),"",$E20*N20)</f>
        <v/>
      </c>
      <c r="P20" s="9"/>
      <c r="Q20" s="4" t="str">
        <f>IF(OR($E20="",P20=""),"",$E20*P20)</f>
        <v/>
      </c>
      <c r="R20" s="10" t="str">
        <f>IF(MIN(IF(J20=0,9.9E+30,J20),IF(L20=0,9.9E+30,L20),IF(N20=0,9.9E+30,N20),IF(P20=0,9.9E+30,P20))&gt;9E+30,"",MIN(IF(J20=0,9.9E+30,J20),IF(L20=0,9.9E+30,L20),IF(N20=0,9.9E+30,N20),IF(P20=0,9.9E+30,P20)))</f>
        <v/>
      </c>
      <c r="S20" s="5" t="str">
        <f>IF($R20="","",IF(J20=$R20,$J$6,IF(L20=$R20,$L$6,IF(N20=$R20,$N$6,IF(P20=$R20,$P$6,"")))))</f>
        <v/>
      </c>
      <c r="T20" s="4" t="str">
        <f>IF(OR($R20="",$E20=""),"",$E20*$R20)</f>
        <v/>
      </c>
      <c r="U20" s="6" t="str">
        <f>IF(OR($F20="",$F20=0,$R20=""),"",$R20/$F20-1)</f>
        <v/>
      </c>
      <c r="V20" s="7"/>
    </row>
    <row r="21" spans="1:22" x14ac:dyDescent="0.25">
      <c r="A21" s="67" t="s">
        <v>56</v>
      </c>
      <c r="B21" s="67"/>
      <c r="C21" s="67"/>
      <c r="D21" s="67"/>
      <c r="E21" s="67"/>
      <c r="F21" s="67"/>
      <c r="G21" s="11">
        <f>SUM(G17:G20)</f>
        <v>0</v>
      </c>
      <c r="H21" s="1"/>
      <c r="I21" s="11">
        <f>SUM(I17:I20)</f>
        <v>0</v>
      </c>
      <c r="J21" s="12"/>
      <c r="K21" s="11">
        <f>SUM(K17:K20)</f>
        <v>0</v>
      </c>
      <c r="L21" s="12"/>
      <c r="M21" s="11">
        <f>SUM(M17:M20)</f>
        <v>0</v>
      </c>
      <c r="N21" s="12"/>
      <c r="O21" s="11">
        <f>SUM(O17:O20)</f>
        <v>0</v>
      </c>
      <c r="P21" s="12"/>
      <c r="Q21" s="11">
        <f>SUM(Q17:Q20)</f>
        <v>0</v>
      </c>
      <c r="R21" s="12"/>
      <c r="S21" s="12"/>
      <c r="T21" s="11">
        <f>SUM(T17:T20)</f>
        <v>0</v>
      </c>
      <c r="U21" s="12"/>
      <c r="V21" s="12"/>
    </row>
  </sheetData>
  <mergeCells count="28">
    <mergeCell ref="R14:U14"/>
    <mergeCell ref="A16:V16"/>
    <mergeCell ref="A21:F21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6:J21">
    <cfRule type="expression" dxfId="15" priority="1">
      <formula>AND(J16&lt;&gt;"",J16=$R16)</formula>
    </cfRule>
    <cfRule type="expression" dxfId="14" priority="2">
      <formula>AND($E16&lt;&gt;"",J16="")</formula>
    </cfRule>
  </conditionalFormatting>
  <conditionalFormatting sqref="L16:L21">
    <cfRule type="expression" dxfId="13" priority="3">
      <formula>AND(L16&lt;&gt;"",L16=$R16)</formula>
    </cfRule>
    <cfRule type="expression" dxfId="12" priority="4">
      <formula>AND($E16&lt;&gt;"",L16="")</formula>
    </cfRule>
  </conditionalFormatting>
  <conditionalFormatting sqref="N16:N21">
    <cfRule type="expression" dxfId="11" priority="5">
      <formula>AND(N16&lt;&gt;"",N16=$R16)</formula>
    </cfRule>
    <cfRule type="expression" dxfId="10" priority="6">
      <formula>AND($E16&lt;&gt;"",N16="")</formula>
    </cfRule>
  </conditionalFormatting>
  <conditionalFormatting sqref="P16:P21">
    <cfRule type="expression" dxfId="9" priority="7">
      <formula>AND(P16&lt;&gt;"",P16=$R16)</formula>
    </cfRule>
    <cfRule type="expression" dxfId="8" priority="8">
      <formula>AND($E16&lt;&gt;"",P16="")</formula>
    </cfRule>
  </conditionalFormatting>
  <dataValidations count="2">
    <dataValidation type="list" allowBlank="1" sqref="D16:D21" xr:uid="{2CE0D60E-FAAF-BD43-8C0B-855E75D4FE03}">
      <formula1>"Nos,Sqft,Sqm,Rft,Rmt,Kg,Ltr,Set,Cum,Job,LS"</formula1>
      <formula2>0</formula2>
    </dataValidation>
    <dataValidation type="list" allowBlank="1" showInputMessage="1" showErrorMessage="1" sqref="C13:D13" xr:uid="{82304AE1-8B27-B64F-95F1-0BD1E4C0CBC2}">
      <formula1>$Y$1:$Y$3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0480-397A-584A-B236-D4DF505A0EEA}">
  <sheetPr>
    <tabColor rgb="FF173B2E"/>
  </sheetPr>
  <dimension ref="A1:Y21"/>
  <sheetViews>
    <sheetView workbookViewId="0">
      <selection activeCell="H7" sqref="H7"/>
    </sheetView>
  </sheetViews>
  <sheetFormatPr defaultColWidth="11.42578125" defaultRowHeight="15" x14ac:dyDescent="0.25"/>
  <sheetData>
    <row r="1" spans="1:25" ht="18.75" thickBot="1" x14ac:dyDescent="0.3">
      <c r="A1" s="37" t="s">
        <v>132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Y1" s="33" t="str">
        <f>J6</f>
        <v>Vendor 1 — name</v>
      </c>
    </row>
    <row r="2" spans="1:25" x14ac:dyDescent="0.25">
      <c r="A2" s="2" t="s">
        <v>1</v>
      </c>
      <c r="B2" s="38">
        <f>Comparison!B2</f>
        <v>0</v>
      </c>
      <c r="C2" s="39"/>
      <c r="D2" s="39"/>
      <c r="E2" s="2" t="s">
        <v>2</v>
      </c>
      <c r="F2" s="42">
        <f>Comparison!F2</f>
        <v>0</v>
      </c>
      <c r="G2" s="42"/>
      <c r="H2" s="42"/>
      <c r="I2" s="42"/>
      <c r="J2" s="42"/>
      <c r="K2" s="2"/>
      <c r="L2" s="42">
        <f>Comparison!J2</f>
        <v>0</v>
      </c>
      <c r="M2" s="42"/>
      <c r="N2" s="25"/>
      <c r="O2" s="25"/>
      <c r="P2" s="25"/>
      <c r="Q2" s="25"/>
      <c r="R2" s="25"/>
      <c r="S2" s="25"/>
      <c r="T2" s="25"/>
      <c r="U2" s="25"/>
      <c r="V2" s="25"/>
      <c r="Y2" s="33" t="str">
        <f>L6</f>
        <v>Vendor 2 — name</v>
      </c>
    </row>
    <row r="3" spans="1:25" x14ac:dyDescent="0.25">
      <c r="A3" s="2"/>
      <c r="B3" s="40"/>
      <c r="C3" s="41"/>
      <c r="D3" s="41"/>
      <c r="E3" s="2" t="s">
        <v>3</v>
      </c>
      <c r="F3" s="43"/>
      <c r="G3" s="43"/>
      <c r="H3" s="43"/>
      <c r="I3" s="43"/>
      <c r="J3" s="43"/>
      <c r="K3" s="2" t="s">
        <v>4</v>
      </c>
      <c r="L3" s="43"/>
      <c r="M3" s="43"/>
      <c r="N3" s="25"/>
      <c r="O3" s="25"/>
      <c r="P3" s="25"/>
      <c r="Q3" s="25"/>
      <c r="R3" s="25"/>
      <c r="S3" s="25"/>
      <c r="T3" s="25"/>
      <c r="U3" s="25"/>
      <c r="V3" s="25"/>
      <c r="Y3" s="33" t="str">
        <f>N6</f>
        <v>Vendor 3 — name</v>
      </c>
    </row>
    <row r="5" spans="1:25" x14ac:dyDescent="0.25">
      <c r="A5" s="45" t="s">
        <v>133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5" ht="25.5" x14ac:dyDescent="0.25">
      <c r="A6" s="46" t="s">
        <v>6</v>
      </c>
      <c r="B6" s="46"/>
      <c r="C6" s="46"/>
      <c r="D6" s="46"/>
      <c r="E6" s="46"/>
      <c r="F6" s="46"/>
      <c r="G6" s="3" t="s">
        <v>7</v>
      </c>
      <c r="H6" s="51" t="s">
        <v>138</v>
      </c>
      <c r="I6" s="52"/>
      <c r="J6" s="47" t="s">
        <v>8</v>
      </c>
      <c r="K6" s="47"/>
      <c r="L6" s="47" t="s">
        <v>9</v>
      </c>
      <c r="M6" s="47"/>
      <c r="N6" s="47" t="s">
        <v>10</v>
      </c>
      <c r="O6" s="47"/>
      <c r="P6" s="47" t="s">
        <v>11</v>
      </c>
      <c r="Q6" s="47"/>
    </row>
    <row r="7" spans="1:25" x14ac:dyDescent="0.25">
      <c r="A7" s="44" t="s">
        <v>146</v>
      </c>
      <c r="B7" s="44"/>
      <c r="C7" s="44"/>
      <c r="D7" s="44"/>
      <c r="E7" s="44"/>
      <c r="F7" s="44"/>
      <c r="G7" s="4">
        <f>G21</f>
        <v>0</v>
      </c>
      <c r="H7" s="69" t="s">
        <v>151</v>
      </c>
      <c r="I7" s="4">
        <f>I21</f>
        <v>0</v>
      </c>
      <c r="K7" s="4">
        <f>K21</f>
        <v>0</v>
      </c>
      <c r="M7" s="4">
        <f>M21</f>
        <v>0</v>
      </c>
      <c r="O7" s="4">
        <f>O21</f>
        <v>0</v>
      </c>
      <c r="Q7" s="4">
        <f>Q21</f>
        <v>0</v>
      </c>
    </row>
    <row r="8" spans="1:25" x14ac:dyDescent="0.25">
      <c r="A8" s="54" t="s">
        <v>147</v>
      </c>
      <c r="B8" s="54"/>
      <c r="C8" s="54"/>
      <c r="D8" s="54"/>
      <c r="E8" s="54"/>
      <c r="F8" s="54"/>
      <c r="G8" s="14">
        <f>G7</f>
        <v>0</v>
      </c>
      <c r="H8" s="31"/>
      <c r="I8" s="14">
        <f>I7</f>
        <v>0</v>
      </c>
      <c r="K8" s="14">
        <f>K7</f>
        <v>0</v>
      </c>
      <c r="M8" s="14">
        <f>M7</f>
        <v>0</v>
      </c>
      <c r="O8" s="14">
        <f>O7</f>
        <v>0</v>
      </c>
      <c r="Q8" s="14">
        <f>Q7</f>
        <v>0</v>
      </c>
    </row>
    <row r="9" spans="1:25" x14ac:dyDescent="0.25">
      <c r="A9" s="44" t="s">
        <v>12</v>
      </c>
      <c r="B9" s="44"/>
      <c r="C9" s="44"/>
      <c r="D9" s="44"/>
      <c r="E9" s="44"/>
      <c r="F9" s="44"/>
      <c r="G9" s="5" t="s">
        <v>13</v>
      </c>
      <c r="H9" s="32"/>
      <c r="I9" s="4" t="str">
        <f>IF(I8=0,"",I8-$G$8)</f>
        <v/>
      </c>
      <c r="K9" s="4" t="str">
        <f>IF(K8=0,"",K8-$G$8)</f>
        <v/>
      </c>
      <c r="M9" s="4" t="str">
        <f>IF(M8=0,"",M8-$G$8)</f>
        <v/>
      </c>
      <c r="O9" s="4" t="str">
        <f>IF(O8=0,"",O8-$G$8)</f>
        <v/>
      </c>
      <c r="Q9" s="4" t="str">
        <f>IF(Q8=0,"",Q8-$G$8)</f>
        <v/>
      </c>
    </row>
    <row r="10" spans="1:25" x14ac:dyDescent="0.25">
      <c r="A10" s="44" t="s">
        <v>14</v>
      </c>
      <c r="B10" s="44"/>
      <c r="C10" s="44"/>
      <c r="D10" s="44"/>
      <c r="E10" s="44"/>
      <c r="F10" s="44"/>
      <c r="G10" s="5" t="s">
        <v>13</v>
      </c>
      <c r="H10" s="32"/>
      <c r="I10" s="6" t="str">
        <f>IF(OR(I8=0,$G$8=0),"",I8/$G$8-1)</f>
        <v/>
      </c>
      <c r="K10" s="6" t="str">
        <f>IF(OR(K8=0,$G$8=0),"",K8/$G$8-1)</f>
        <v/>
      </c>
      <c r="M10" s="6" t="str">
        <f>IF(OR(M8=0,$G$8=0),"",M8/$G$8-1)</f>
        <v/>
      </c>
      <c r="O10" s="6" t="str">
        <f>IF(OR(O8=0,$G$8=0),"",O8/$G$8-1)</f>
        <v/>
      </c>
      <c r="Q10" s="6" t="str">
        <f>IF(OR(Q8=0,$G$8=0),"",Q8/$G$8-1)</f>
        <v/>
      </c>
    </row>
    <row r="11" spans="1:25" x14ac:dyDescent="0.25">
      <c r="A11" s="44" t="s">
        <v>15</v>
      </c>
      <c r="B11" s="44"/>
      <c r="C11" s="44"/>
      <c r="D11" s="44"/>
      <c r="E11" s="44"/>
      <c r="F11" s="44"/>
      <c r="G11" s="5" t="s">
        <v>13</v>
      </c>
      <c r="H11" s="32"/>
      <c r="I11" s="5" t="s">
        <v>13</v>
      </c>
      <c r="K11" s="5" t="str">
        <f>IF(K8=0,"",1+IF(AND(M8&gt;0,M8&lt;K8),1,0)+IF(AND(O8&gt;0,O8&lt;K8),1,0)+IF(AND(Q8&gt;0,Q8&lt;K8),1,0))</f>
        <v/>
      </c>
      <c r="M11" s="5" t="str">
        <f>IF(M8=0,"",1+IF(AND(K8&gt;0,K8&lt;M8),1,0)+IF(AND(O8&gt;0,O8&lt;M8),1,0)+IF(AND(Q8&gt;0,Q8&lt;M8),1,0))</f>
        <v/>
      </c>
      <c r="O11" s="5" t="str">
        <f>IF(O8=0,"",1+IF(AND(K8&gt;0,K8&lt;O8),1,0)+IF(AND(M8&gt;0,M8&lt;O8),1,0)+IF(AND(Q8&gt;0,Q8&lt;O8),1,0))</f>
        <v/>
      </c>
      <c r="Q11" s="5" t="str">
        <f>IF(Q8=0,"",1+IF(AND(K8&gt;0,K8&lt;Q8),1,0)+IF(AND(M8&gt;0,M8&lt;Q8),1,0)+IF(AND(O8&gt;0,O8&lt;Q8),1,0))</f>
        <v/>
      </c>
    </row>
    <row r="12" spans="1:25" x14ac:dyDescent="0.25">
      <c r="A12" s="44" t="s">
        <v>16</v>
      </c>
      <c r="B12" s="44"/>
      <c r="C12" s="44"/>
      <c r="D12" s="44"/>
      <c r="E12" s="44"/>
      <c r="F12" s="44"/>
      <c r="G12" s="5" t="s">
        <v>13</v>
      </c>
      <c r="H12" s="32"/>
      <c r="I12" s="5" t="str">
        <f>IF(I8=0,"",COUNT($E$17:$E$20)-COUNT(H17:H20))</f>
        <v/>
      </c>
      <c r="K12" s="5" t="str">
        <f>IF(K8=0,"",COUNT($E$17:$E$20)-COUNT(J17:J20))</f>
        <v/>
      </c>
      <c r="M12" s="5" t="str">
        <f>IF(M8=0,"",COUNT($E$17:$E$20)-COUNT(L17:L20))</f>
        <v/>
      </c>
      <c r="O12" s="5" t="str">
        <f>IF(O8=0,"",COUNT($E$17:$E$20)-COUNT(N17:N20))</f>
        <v/>
      </c>
      <c r="Q12" s="5" t="str">
        <f>IF(Q8=0,"",COUNT($E$17:$E$20)-COUNT(P17:P20))</f>
        <v/>
      </c>
    </row>
    <row r="13" spans="1:25" x14ac:dyDescent="0.25">
      <c r="A13" s="34" t="s">
        <v>140</v>
      </c>
      <c r="C13" s="53"/>
      <c r="D13" s="53"/>
      <c r="F13" s="35" t="s">
        <v>150</v>
      </c>
      <c r="H13" s="36" t="str">
        <f>IF($C13="","",IF($C13=J6,K7,IF($C13=L6,M7,IF($C13=N6,O7,IF($C13=P6,Q7,"")))))</f>
        <v/>
      </c>
    </row>
    <row r="14" spans="1:25" x14ac:dyDescent="0.25">
      <c r="A14" s="48" t="s">
        <v>134</v>
      </c>
      <c r="B14" s="48"/>
      <c r="C14" s="48"/>
      <c r="D14" s="48"/>
      <c r="E14" s="48"/>
      <c r="F14" s="48"/>
      <c r="G14" s="48"/>
      <c r="H14" s="13"/>
      <c r="I14" s="13"/>
      <c r="J14" s="48" t="str">
        <f>J6</f>
        <v>Vendor 1 — name</v>
      </c>
      <c r="K14" s="48"/>
      <c r="L14" s="48" t="str">
        <f>L6</f>
        <v>Vendor 2 — name</v>
      </c>
      <c r="M14" s="48"/>
      <c r="N14" s="48" t="str">
        <f>N6</f>
        <v>Vendor 3 — name</v>
      </c>
      <c r="O14" s="48"/>
      <c r="P14" s="48" t="str">
        <f>P6</f>
        <v>Vendor 4 — name</v>
      </c>
      <c r="Q14" s="48"/>
      <c r="R14" s="48" t="s">
        <v>17</v>
      </c>
      <c r="S14" s="48"/>
      <c r="T14" s="48"/>
      <c r="U14" s="48"/>
      <c r="V14" s="13" t="s">
        <v>18</v>
      </c>
    </row>
    <row r="15" spans="1:25" ht="38.25" x14ac:dyDescent="0.25">
      <c r="A15" s="13" t="s">
        <v>19</v>
      </c>
      <c r="B15" s="13" t="s">
        <v>20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138</v>
      </c>
      <c r="I15" s="13" t="s">
        <v>139</v>
      </c>
      <c r="J15" s="13" t="s">
        <v>26</v>
      </c>
      <c r="K15" s="13" t="s">
        <v>27</v>
      </c>
      <c r="L15" s="13" t="s">
        <v>26</v>
      </c>
      <c r="M15" s="13" t="s">
        <v>27</v>
      </c>
      <c r="N15" s="13" t="s">
        <v>26</v>
      </c>
      <c r="O15" s="13" t="s">
        <v>27</v>
      </c>
      <c r="P15" s="13" t="s">
        <v>26</v>
      </c>
      <c r="Q15" s="13" t="s">
        <v>27</v>
      </c>
      <c r="R15" s="13" t="s">
        <v>28</v>
      </c>
      <c r="S15" s="13" t="s">
        <v>29</v>
      </c>
      <c r="T15" s="13" t="s">
        <v>30</v>
      </c>
      <c r="U15" s="13" t="s">
        <v>31</v>
      </c>
      <c r="V15" s="13" t="s">
        <v>32</v>
      </c>
    </row>
    <row r="16" spans="1:25" x14ac:dyDescent="0.25">
      <c r="A16" s="68" t="s">
        <v>57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 x14ac:dyDescent="0.25">
      <c r="A17" s="5">
        <v>50</v>
      </c>
      <c r="B17" s="7"/>
      <c r="C17" s="7"/>
      <c r="D17" s="8"/>
      <c r="E17" s="8"/>
      <c r="F17" s="9"/>
      <c r="G17" s="4" t="str">
        <f>IF(OR($E17="",$F17=""),"",$E17*$F17)</f>
        <v/>
      </c>
      <c r="H17" s="9"/>
      <c r="I17" s="4" t="str">
        <f>IF(OR($E17="",H17=""),"",$E17*H17)</f>
        <v/>
      </c>
      <c r="J17" s="9"/>
      <c r="K17" s="4" t="str">
        <f>IF(OR($E17="",J17=""),"",$E17*J17)</f>
        <v/>
      </c>
      <c r="L17" s="9"/>
      <c r="M17" s="4" t="str">
        <f>IF(OR($E17="",L17=""),"",$E17*L17)</f>
        <v/>
      </c>
      <c r="N17" s="9"/>
      <c r="O17" s="4" t="str">
        <f>IF(OR($E17="",N17=""),"",$E17*N17)</f>
        <v/>
      </c>
      <c r="P17" s="9"/>
      <c r="Q17" s="4" t="str">
        <f>IF(OR($E17="",P17=""),"",$E17*P17)</f>
        <v/>
      </c>
      <c r="R17" s="10" t="str">
        <f>IF(MIN(IF(J17=0,9.9E+30,J17),IF(L17=0,9.9E+30,L17),IF(N17=0,9.9E+30,N17),IF(P17=0,9.9E+30,P17))&gt;9E+30,"",MIN(IF(J17=0,9.9E+30,J17),IF(L17=0,9.9E+30,L17),IF(N17=0,9.9E+30,N17),IF(P17=0,9.9E+30,P17)))</f>
        <v/>
      </c>
      <c r="S17" s="5" t="str">
        <f>IF($R17="","",IF(J17=$R17,$J$6,IF(L17=$R17,$L$6,IF(N17=$R17,$N$6,IF(P17=$R17,$P$6,"")))))</f>
        <v/>
      </c>
      <c r="T17" s="4" t="str">
        <f>IF(OR($R17="",$E17=""),"",$E17*$R17)</f>
        <v/>
      </c>
      <c r="U17" s="6" t="str">
        <f>IF(OR($F17="",$F17=0,$R17=""),"",$R17/$F17-1)</f>
        <v/>
      </c>
      <c r="V17" s="7"/>
    </row>
    <row r="18" spans="1:22" x14ac:dyDescent="0.25">
      <c r="A18" s="5">
        <v>51</v>
      </c>
      <c r="B18" s="7"/>
      <c r="C18" s="7"/>
      <c r="D18" s="8"/>
      <c r="E18" s="8"/>
      <c r="F18" s="9"/>
      <c r="G18" s="4" t="str">
        <f>IF(OR($E18="",$F18=""),"",$E18*$F18)</f>
        <v/>
      </c>
      <c r="H18" s="9"/>
      <c r="I18" s="4" t="str">
        <f>IF(OR($E18="",H18=""),"",$E18*H18)</f>
        <v/>
      </c>
      <c r="J18" s="9"/>
      <c r="K18" s="4" t="str">
        <f>IF(OR($E18="",J18=""),"",$E18*J18)</f>
        <v/>
      </c>
      <c r="L18" s="9"/>
      <c r="M18" s="4" t="str">
        <f>IF(OR($E18="",L18=""),"",$E18*L18)</f>
        <v/>
      </c>
      <c r="N18" s="9"/>
      <c r="O18" s="4" t="str">
        <f>IF(OR($E18="",N18=""),"",$E18*N18)</f>
        <v/>
      </c>
      <c r="P18" s="9"/>
      <c r="Q18" s="4" t="str">
        <f>IF(OR($E18="",P18=""),"",$E18*P18)</f>
        <v/>
      </c>
      <c r="R18" s="10" t="str">
        <f>IF(MIN(IF(J18=0,9.9E+30,J18),IF(L18=0,9.9E+30,L18),IF(N18=0,9.9E+30,N18),IF(P18=0,9.9E+30,P18))&gt;9E+30,"",MIN(IF(J18=0,9.9E+30,J18),IF(L18=0,9.9E+30,L18),IF(N18=0,9.9E+30,N18),IF(P18=0,9.9E+30,P18)))</f>
        <v/>
      </c>
      <c r="S18" s="5" t="str">
        <f>IF($R18="","",IF(J18=$R18,$J$6,IF(L18=$R18,$L$6,IF(N18=$R18,$N$6,IF(P18=$R18,$P$6,"")))))</f>
        <v/>
      </c>
      <c r="T18" s="4" t="str">
        <f>IF(OR($R18="",$E18=""),"",$E18*$R18)</f>
        <v/>
      </c>
      <c r="U18" s="6" t="str">
        <f>IF(OR($F18="",$F18=0,$R18=""),"",$R18/$F18-1)</f>
        <v/>
      </c>
      <c r="V18" s="7"/>
    </row>
    <row r="19" spans="1:22" x14ac:dyDescent="0.25">
      <c r="A19" s="5">
        <v>52</v>
      </c>
      <c r="B19" s="7"/>
      <c r="C19" s="7"/>
      <c r="D19" s="8"/>
      <c r="E19" s="8"/>
      <c r="F19" s="9"/>
      <c r="G19" s="4" t="str">
        <f>IF(OR($E19="",$F19=""),"",$E19*$F19)</f>
        <v/>
      </c>
      <c r="H19" s="9"/>
      <c r="I19" s="4" t="str">
        <f>IF(OR($E19="",H19=""),"",$E19*H19)</f>
        <v/>
      </c>
      <c r="J19" s="9"/>
      <c r="K19" s="4" t="str">
        <f>IF(OR($E19="",J19=""),"",$E19*J19)</f>
        <v/>
      </c>
      <c r="L19" s="9"/>
      <c r="M19" s="4" t="str">
        <f>IF(OR($E19="",L19=""),"",$E19*L19)</f>
        <v/>
      </c>
      <c r="N19" s="9"/>
      <c r="O19" s="4" t="str">
        <f>IF(OR($E19="",N19=""),"",$E19*N19)</f>
        <v/>
      </c>
      <c r="P19" s="9"/>
      <c r="Q19" s="4" t="str">
        <f>IF(OR($E19="",P19=""),"",$E19*P19)</f>
        <v/>
      </c>
      <c r="R19" s="10" t="str">
        <f>IF(MIN(IF(J19=0,9.9E+30,J19),IF(L19=0,9.9E+30,L19),IF(N19=0,9.9E+30,N19),IF(P19=0,9.9E+30,P19))&gt;9E+30,"",MIN(IF(J19=0,9.9E+30,J19),IF(L19=0,9.9E+30,L19),IF(N19=0,9.9E+30,N19),IF(P19=0,9.9E+30,P19)))</f>
        <v/>
      </c>
      <c r="S19" s="5" t="str">
        <f>IF($R19="","",IF(J19=$R19,$J$6,IF(L19=$R19,$L$6,IF(N19=$R19,$N$6,IF(P19=$R19,$P$6,"")))))</f>
        <v/>
      </c>
      <c r="T19" s="4" t="str">
        <f>IF(OR($R19="",$E19=""),"",$E19*$R19)</f>
        <v/>
      </c>
      <c r="U19" s="6" t="str">
        <f>IF(OR($F19="",$F19=0,$R19=""),"",$R19/$F19-1)</f>
        <v/>
      </c>
      <c r="V19" s="7"/>
    </row>
    <row r="20" spans="1:22" ht="15.75" thickBot="1" x14ac:dyDescent="0.3">
      <c r="A20" s="5">
        <v>53</v>
      </c>
      <c r="B20" s="7"/>
      <c r="C20" s="7"/>
      <c r="D20" s="8"/>
      <c r="E20" s="8"/>
      <c r="F20" s="9"/>
      <c r="G20" s="4" t="str">
        <f>IF(OR($E20="",$F20=""),"",$E20*$F20)</f>
        <v/>
      </c>
      <c r="H20" s="9"/>
      <c r="I20" s="4" t="str">
        <f>IF(OR($E20="",H20=""),"",$E20*H20)</f>
        <v/>
      </c>
      <c r="J20" s="9"/>
      <c r="K20" s="4" t="str">
        <f>IF(OR($E20="",J20=""),"",$E20*J20)</f>
        <v/>
      </c>
      <c r="L20" s="9"/>
      <c r="M20" s="4" t="str">
        <f>IF(OR($E20="",L20=""),"",$E20*L20)</f>
        <v/>
      </c>
      <c r="N20" s="9"/>
      <c r="O20" s="4" t="str">
        <f>IF(OR($E20="",N20=""),"",$E20*N20)</f>
        <v/>
      </c>
      <c r="P20" s="9"/>
      <c r="Q20" s="4" t="str">
        <f>IF(OR($E20="",P20=""),"",$E20*P20)</f>
        <v/>
      </c>
      <c r="R20" s="10" t="str">
        <f>IF(MIN(IF(J20=0,9.9E+30,J20),IF(L20=0,9.9E+30,L20),IF(N20=0,9.9E+30,N20),IF(P20=0,9.9E+30,P20))&gt;9E+30,"",MIN(IF(J20=0,9.9E+30,J20),IF(L20=0,9.9E+30,L20),IF(N20=0,9.9E+30,N20),IF(P20=0,9.9E+30,P20)))</f>
        <v/>
      </c>
      <c r="S20" s="5" t="str">
        <f>IF($R20="","",IF(J20=$R20,$J$6,IF(L20=$R20,$L$6,IF(N20=$R20,$N$6,IF(P20=$R20,$P$6,"")))))</f>
        <v/>
      </c>
      <c r="T20" s="4" t="str">
        <f>IF(OR($R20="",$E20=""),"",$E20*$R20)</f>
        <v/>
      </c>
      <c r="U20" s="6" t="str">
        <f>IF(OR($F20="",$F20=0,$R20=""),"",$R20/$F20-1)</f>
        <v/>
      </c>
      <c r="V20" s="7"/>
    </row>
    <row r="21" spans="1:22" x14ac:dyDescent="0.25">
      <c r="A21" s="67" t="s">
        <v>58</v>
      </c>
      <c r="B21" s="67"/>
      <c r="C21" s="67"/>
      <c r="D21" s="67"/>
      <c r="E21" s="67"/>
      <c r="F21" s="67"/>
      <c r="G21" s="11">
        <f>SUM(G17:G20)</f>
        <v>0</v>
      </c>
      <c r="H21" s="1"/>
      <c r="I21" s="11">
        <f>SUM(I17:I20)</f>
        <v>0</v>
      </c>
      <c r="J21" s="12"/>
      <c r="K21" s="11">
        <f>SUM(K17:K20)</f>
        <v>0</v>
      </c>
      <c r="L21" s="12"/>
      <c r="M21" s="11">
        <f>SUM(M17:M20)</f>
        <v>0</v>
      </c>
      <c r="N21" s="12"/>
      <c r="O21" s="11">
        <f>SUM(O17:O20)</f>
        <v>0</v>
      </c>
      <c r="P21" s="12"/>
      <c r="Q21" s="11">
        <f>SUM(Q17:Q20)</f>
        <v>0</v>
      </c>
      <c r="R21" s="12"/>
      <c r="S21" s="12"/>
      <c r="T21" s="11">
        <f>SUM(T17:T20)</f>
        <v>0</v>
      </c>
      <c r="U21" s="12"/>
      <c r="V21" s="12"/>
    </row>
  </sheetData>
  <mergeCells count="28">
    <mergeCell ref="R14:U14"/>
    <mergeCell ref="A16:V16"/>
    <mergeCell ref="A21:F21"/>
    <mergeCell ref="H6:I6"/>
    <mergeCell ref="C13:D13"/>
    <mergeCell ref="A12:F12"/>
    <mergeCell ref="A14:G14"/>
    <mergeCell ref="J14:K14"/>
    <mergeCell ref="L14:M14"/>
    <mergeCell ref="N14:O14"/>
    <mergeCell ref="P14:Q14"/>
    <mergeCell ref="A7:F7"/>
    <mergeCell ref="A8:F8"/>
    <mergeCell ref="A9:F9"/>
    <mergeCell ref="A10:F10"/>
    <mergeCell ref="A11:F11"/>
    <mergeCell ref="A5:V5"/>
    <mergeCell ref="A6:F6"/>
    <mergeCell ref="J6:K6"/>
    <mergeCell ref="L6:M6"/>
    <mergeCell ref="N6:O6"/>
    <mergeCell ref="P6:Q6"/>
    <mergeCell ref="A1:V1"/>
    <mergeCell ref="B2:D3"/>
    <mergeCell ref="F2:J2"/>
    <mergeCell ref="L2:M2"/>
    <mergeCell ref="F3:J3"/>
    <mergeCell ref="L3:M3"/>
  </mergeCells>
  <conditionalFormatting sqref="J16:J20">
    <cfRule type="expression" dxfId="7" priority="1">
      <formula>AND(J16&lt;&gt;"",J16=$R16)</formula>
    </cfRule>
    <cfRule type="expression" dxfId="6" priority="2">
      <formula>AND($E16&lt;&gt;"",J16="")</formula>
    </cfRule>
  </conditionalFormatting>
  <conditionalFormatting sqref="L16:L20">
    <cfRule type="expression" dxfId="5" priority="3">
      <formula>AND(L16&lt;&gt;"",L16=$R16)</formula>
    </cfRule>
    <cfRule type="expression" dxfId="4" priority="4">
      <formula>AND($E16&lt;&gt;"",L16="")</formula>
    </cfRule>
  </conditionalFormatting>
  <conditionalFormatting sqref="N16:N20">
    <cfRule type="expression" dxfId="3" priority="5">
      <formula>AND(N16&lt;&gt;"",N16=$R16)</formula>
    </cfRule>
    <cfRule type="expression" dxfId="2" priority="6">
      <formula>AND($E16&lt;&gt;"",N16="")</formula>
    </cfRule>
  </conditionalFormatting>
  <conditionalFormatting sqref="P16:P20">
    <cfRule type="expression" dxfId="1" priority="7">
      <formula>AND(P16&lt;&gt;"",P16=$R16)</formula>
    </cfRule>
    <cfRule type="expression" dxfId="0" priority="8">
      <formula>AND($E16&lt;&gt;"",P16="")</formula>
    </cfRule>
  </conditionalFormatting>
  <dataValidations count="2">
    <dataValidation type="list" allowBlank="1" sqref="D16:D20" xr:uid="{328E5F7E-575B-6746-A9F2-D00F1FDC42DF}">
      <formula1>"Nos,Sqft,Sqm,Rft,Rmt,Kg,Ltr,Set,Cum,Job,LS"</formula1>
      <formula2>0</formula2>
    </dataValidation>
    <dataValidation type="list" allowBlank="1" showInputMessage="1" showErrorMessage="1" sqref="C13:D13" xr:uid="{4CD25432-50F0-D445-B92E-2FB161EB831D}">
      <formula1>$Y$1:$Y$3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Comparison</vt:lpstr>
      <vt:lpstr>1. Site Preparation</vt:lpstr>
      <vt:lpstr>2. Civil Works</vt:lpstr>
      <vt:lpstr>3. Waterproofing</vt:lpstr>
      <vt:lpstr>4. Flooring &amp; Stone</vt:lpstr>
      <vt:lpstr>5. False Ceiling</vt:lpstr>
      <vt:lpstr>6. Carpentry</vt:lpstr>
      <vt:lpstr>7. Glass &amp; Alu</vt:lpstr>
      <vt:lpstr>8. Electrical</vt:lpstr>
      <vt:lpstr>9. Plumbing</vt:lpstr>
      <vt:lpstr>10. HVAC</vt:lpstr>
      <vt:lpstr>11. Painting</vt:lpstr>
      <vt:lpstr>12. Loose Furniture</vt:lpstr>
      <vt:lpstr>13. Site Overheads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Developers Rocklime</cp:lastModifiedBy>
  <cp:revision>0</cp:revision>
  <dcterms:created xsi:type="dcterms:W3CDTF">2026-08-25T15:59:44Z</dcterms:created>
  <dcterms:modified xsi:type="dcterms:W3CDTF">2026-09-09T08:19:33Z</dcterms:modified>
  <dc:language>en-US</dc:language>
</cp:coreProperties>
</file>